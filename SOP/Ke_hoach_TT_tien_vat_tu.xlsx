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6\Vật tư và Công nợ đối chiếu\Kế hoạch TT tiền Vật tư cho các công trình\"/>
    </mc:Choice>
  </mc:AlternateContent>
  <xr:revisionPtr revIDLastSave="0" documentId="13_ncr:1_{1940DFA6-097B-4D42-B4B2-B52325BD52F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hang 4" sheetId="2" r:id="rId1"/>
    <sheet name="Kế hoạch TT tiền vật tư T5" sheetId="1" r:id="rId2"/>
  </sheets>
  <definedNames>
    <definedName name="_xlnm.Print_Area" localSheetId="1">'Kế hoạch TT tiền vật tư T5'!$A$1:$K$30</definedName>
  </definedNames>
  <calcPr calcId="191029"/>
</workbook>
</file>

<file path=xl/calcChain.xml><?xml version="1.0" encoding="utf-8"?>
<calcChain xmlns="http://schemas.openxmlformats.org/spreadsheetml/2006/main">
  <c r="I37" i="2" l="1"/>
  <c r="E37" i="2"/>
  <c r="H31" i="2"/>
  <c r="H29" i="2"/>
  <c r="D14" i="1"/>
  <c r="D11" i="1"/>
  <c r="D7" i="1"/>
  <c r="K28" i="1"/>
  <c r="F28" i="1"/>
  <c r="J7" i="1"/>
  <c r="E12" i="1"/>
  <c r="E13" i="1"/>
  <c r="E11" i="1"/>
  <c r="E7" i="1"/>
  <c r="E8" i="1"/>
</calcChain>
</file>

<file path=xl/sharedStrings.xml><?xml version="1.0" encoding="utf-8"?>
<sst xmlns="http://schemas.openxmlformats.org/spreadsheetml/2006/main" count="118" uniqueCount="62">
  <si>
    <t>Stt</t>
  </si>
  <si>
    <t>Công trình
Cty quản lý</t>
  </si>
  <si>
    <t>Đơn vị được
thanh toán</t>
  </si>
  <si>
    <t>Theo dõi thanh toán</t>
  </si>
  <si>
    <t>Công trình
giao khoán</t>
  </si>
  <si>
    <t>Số thanh toán
lũy kế</t>
  </si>
  <si>
    <t>Số đề nghị
lần này</t>
  </si>
  <si>
    <t>Trại Chuối</t>
  </si>
  <si>
    <t>Công ty TNHH Nam Hương</t>
  </si>
  <si>
    <t>Việt Úc</t>
  </si>
  <si>
    <t>Công ty CPXD và TM Đại Ngàn</t>
  </si>
  <si>
    <t>Công ty Đại Ngàn</t>
  </si>
  <si>
    <t>Công ty TNHH DVXD và TM Tiên Lãng Petro</t>
  </si>
  <si>
    <t>Công ty CP bê tông Hải Phòng</t>
  </si>
  <si>
    <t>Công ty CP bê tông và XD Tân Lộc</t>
  </si>
  <si>
    <t>Cty (Anh Công)</t>
  </si>
  <si>
    <t>Công ty CP bê tông và XD Hải phòng</t>
  </si>
  <si>
    <t>Công ty Lộc Tài HT</t>
  </si>
  <si>
    <t>Cty TNHH TM vận tải Hải Đạt</t>
  </si>
  <si>
    <t>Cty CP công nghiệp Điện HUNACO</t>
  </si>
  <si>
    <t>Công ty Đất Việt Phát</t>
  </si>
  <si>
    <t>Cty Phương Minh (Cô Dinh)</t>
  </si>
  <si>
    <t>Công ty CP Thí nghiệm 912</t>
  </si>
  <si>
    <t>Cty Quang Minh (Ô Hoà)</t>
  </si>
  <si>
    <t>Cty TNHH XD Quang Minh ( Ô Hoà)</t>
  </si>
  <si>
    <t>Công ty Anh thư</t>
  </si>
  <si>
    <t>Ông Lưu - Nhân công</t>
  </si>
  <si>
    <t>Điều phối giao thông</t>
  </si>
  <si>
    <t>Sông Hồng</t>
  </si>
  <si>
    <t>Cty TNHH Thương Hiệu Trần</t>
  </si>
  <si>
    <t>Cty TNHH TM và Xly nền móng Tiến Đạt</t>
  </si>
  <si>
    <t>Cty TNHH Lộc Tài HT</t>
  </si>
  <si>
    <t>Cty CPXD và TM Đại Ngàn</t>
  </si>
  <si>
    <t>Cty TNHH XD và vật tư Quang Minh</t>
  </si>
  <si>
    <t>Cty CP Bê tông và XD HP</t>
  </si>
  <si>
    <t>Cty TNHH Anh thư</t>
  </si>
  <si>
    <t>Cty TNHH Nam Hương</t>
  </si>
  <si>
    <t>Cty Hiệu Trần</t>
  </si>
  <si>
    <t>Cty Tiến Phát</t>
  </si>
  <si>
    <t>Cty Đất Việt Phát</t>
  </si>
  <si>
    <t>Cty Phương Vũ</t>
  </si>
  <si>
    <t>Giám đốc</t>
  </si>
  <si>
    <t>Trưởng phòng TCKT</t>
  </si>
  <si>
    <t>KẾ HOẠCH THANH TOÁN THÁNG 4 ĐỢT 2</t>
  </si>
  <si>
    <t>Ngày 16 tháng 4 năm 2026</t>
  </si>
  <si>
    <t xml:space="preserve">Tổng cộng </t>
  </si>
  <si>
    <t>Mầm non
 Trại Chuối</t>
  </si>
  <si>
    <t xml:space="preserve">           Phó giám đốc phụ trách Tài chính</t>
  </si>
  <si>
    <t>CT Thiết bị điện HP</t>
  </si>
  <si>
    <t>Cty Hiệu Trần (Ô. Hiếu)</t>
  </si>
  <si>
    <t>Cty CPTM Kim khí TT (Ô. Hiếu)</t>
  </si>
  <si>
    <t>KẾ HOẠCH THANH TOÁN THÁNG 5 ĐỢT 1</t>
  </si>
  <si>
    <t>Dải cây xanh</t>
  </si>
  <si>
    <t>Cty Khang Trang Phát</t>
  </si>
  <si>
    <t>Công ty CP xây dựng Ngô Quyền</t>
  </si>
  <si>
    <t>Công nợ</t>
  </si>
  <si>
    <t>Cty Quang Minh - Ô. Hoà</t>
  </si>
  <si>
    <t>Công ty Đại Ngàn (chưa tính Tân Lộc)</t>
  </si>
  <si>
    <t>CT Hiệu Trần (A. Hiếu)</t>
  </si>
  <si>
    <t>Người lập</t>
  </si>
  <si>
    <t>Ngày 12 tháng 5 năm 2026</t>
  </si>
  <si>
    <t>Trại Chuối + Quán Toan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</si>
</sst>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  <charset val="163"/>
    </font>
    <font>
      <b/>
      <sz val="16"/>
      <name val="Times New Roman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/>
    <xf numFmtId="3" fontId="0" fillId="0" borderId="0" xfId="0" applyNumberForma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/>
    <xf numFmtId="0" fontId="10" fillId="0" borderId="0" xfId="0" applyFont="1"/>
    <xf numFmtId="0" fontId="3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6" fillId="0" borderId="0" xfId="0" applyFont="1"/>
    <xf numFmtId="0" fontId="0" fillId="0" borderId="1" xfId="0" applyBorder="1" applyAlignment="1">
      <alignment horizontal="center"/>
    </xf>
    <xf numFmtId="0" fontId="12" fillId="0" borderId="0" xfId="0" applyFont="1"/>
    <xf numFmtId="165" fontId="14" fillId="0" borderId="1" xfId="1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0" fontId="15" fillId="0" borderId="1" xfId="0" applyFont="1" applyBorder="1"/>
    <xf numFmtId="3" fontId="15" fillId="0" borderId="1" xfId="0" applyNumberFormat="1" applyFont="1" applyBorder="1"/>
    <xf numFmtId="3" fontId="14" fillId="0" borderId="1" xfId="0" applyNumberFormat="1" applyFont="1" applyBorder="1" applyAlignment="1">
      <alignment horizontal="right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0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5" fillId="0" borderId="1" xfId="0" applyFont="1" applyBorder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center" vertical="center"/>
    </xf>
    <xf numFmtId="0" fontId="0" fillId="0" borderId="1" xfId="0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3240-9E33-40C6-82F0-FC8EEF57E108}">
  <dimension ref="A1:I39"/>
  <sheetViews>
    <sheetView workbookViewId="0">
      <selection activeCell="G7" sqref="G7"/>
    </sheetView>
  </sheetViews>
  <sheetFormatPr defaultRowHeight="15" x14ac:dyDescent="0.25"/>
  <cols>
    <col min="1" max="1" width="4" customWidth="1"/>
    <col min="2" max="2" width="11.28515625" customWidth="1"/>
    <col min="3" max="3" width="28.28515625" customWidth="1"/>
    <col min="4" max="4" width="14.42578125" customWidth="1"/>
    <col min="5" max="5" width="14.7109375" style="8" customWidth="1"/>
    <col min="6" max="6" width="13.42578125" customWidth="1"/>
    <col min="7" max="7" width="31.28515625" customWidth="1"/>
    <col min="8" max="8" width="15.42578125" customWidth="1"/>
    <col min="9" max="9" width="13.5703125" style="8" customWidth="1"/>
  </cols>
  <sheetData>
    <row r="1" spans="1:9" ht="24.75" customHeight="1" x14ac:dyDescent="0.35">
      <c r="A1" s="40" t="s">
        <v>43</v>
      </c>
      <c r="B1" s="41"/>
      <c r="C1" s="41"/>
      <c r="D1" s="41"/>
      <c r="E1" s="41"/>
      <c r="F1" s="41"/>
      <c r="G1" s="41"/>
      <c r="H1" s="41"/>
      <c r="I1" s="41"/>
    </row>
    <row r="2" spans="1:9" ht="21.75" customHeight="1" x14ac:dyDescent="0.3">
      <c r="A2" s="42" t="s">
        <v>44</v>
      </c>
      <c r="B2" s="30"/>
      <c r="C2" s="30"/>
      <c r="D2" s="30"/>
      <c r="E2" s="30"/>
      <c r="F2" s="30"/>
      <c r="G2" s="30"/>
      <c r="H2" s="30"/>
      <c r="I2" s="30"/>
    </row>
    <row r="3" spans="1:9" ht="3.75" customHeight="1" x14ac:dyDescent="0.25"/>
    <row r="4" spans="1:9" ht="26.25" customHeight="1" x14ac:dyDescent="0.25">
      <c r="A4" s="33" t="s">
        <v>0</v>
      </c>
      <c r="B4" s="33" t="s">
        <v>1</v>
      </c>
      <c r="C4" s="33" t="s">
        <v>2</v>
      </c>
      <c r="D4" s="33" t="s">
        <v>3</v>
      </c>
      <c r="E4" s="43"/>
      <c r="F4" s="33" t="s">
        <v>4</v>
      </c>
      <c r="G4" s="33" t="s">
        <v>2</v>
      </c>
      <c r="H4" s="33" t="s">
        <v>3</v>
      </c>
      <c r="I4" s="43"/>
    </row>
    <row r="5" spans="1:9" ht="30" customHeight="1" x14ac:dyDescent="0.25">
      <c r="A5" s="43"/>
      <c r="B5" s="43"/>
      <c r="C5" s="43"/>
      <c r="D5" s="1" t="s">
        <v>5</v>
      </c>
      <c r="E5" s="6" t="s">
        <v>6</v>
      </c>
      <c r="F5" s="43"/>
      <c r="G5" s="43"/>
      <c r="H5" s="1" t="s">
        <v>5</v>
      </c>
      <c r="I5" s="6" t="s">
        <v>6</v>
      </c>
    </row>
    <row r="6" spans="1:9" ht="16.5" customHeight="1" x14ac:dyDescent="0.25">
      <c r="A6" s="3">
        <v>1</v>
      </c>
      <c r="B6" s="33" t="s">
        <v>7</v>
      </c>
      <c r="C6" s="4" t="s">
        <v>8</v>
      </c>
      <c r="D6" s="5">
        <v>4601251300</v>
      </c>
      <c r="E6" s="7"/>
      <c r="F6" s="36" t="s">
        <v>9</v>
      </c>
      <c r="G6" s="4" t="s">
        <v>10</v>
      </c>
      <c r="H6" s="5">
        <v>900000000</v>
      </c>
      <c r="I6" s="7"/>
    </row>
    <row r="7" spans="1:9" ht="27" customHeight="1" x14ac:dyDescent="0.25">
      <c r="A7" s="3">
        <v>2</v>
      </c>
      <c r="B7" s="34"/>
      <c r="C7" s="4" t="s">
        <v>11</v>
      </c>
      <c r="D7" s="5">
        <v>19302241000</v>
      </c>
      <c r="E7" s="7">
        <v>400000000</v>
      </c>
      <c r="F7" s="37"/>
      <c r="G7" s="4" t="s">
        <v>12</v>
      </c>
      <c r="H7" s="5">
        <v>570000000</v>
      </c>
      <c r="I7" s="7"/>
    </row>
    <row r="8" spans="1:9" ht="16.5" customHeight="1" x14ac:dyDescent="0.25">
      <c r="A8" s="3">
        <v>3</v>
      </c>
      <c r="B8" s="34"/>
      <c r="C8" s="4" t="s">
        <v>13</v>
      </c>
      <c r="D8" s="5">
        <v>11704312069</v>
      </c>
      <c r="E8" s="7">
        <v>300000000</v>
      </c>
      <c r="F8" s="37"/>
      <c r="G8" s="4" t="s">
        <v>14</v>
      </c>
      <c r="H8" s="5">
        <v>0</v>
      </c>
      <c r="I8" s="7"/>
    </row>
    <row r="9" spans="1:9" ht="16.5" customHeight="1" x14ac:dyDescent="0.25">
      <c r="A9" s="3">
        <v>4</v>
      </c>
      <c r="B9" s="34"/>
      <c r="C9" s="4" t="s">
        <v>15</v>
      </c>
      <c r="D9" s="5">
        <v>1448900800</v>
      </c>
      <c r="E9" s="7"/>
      <c r="F9" s="37"/>
      <c r="G9" s="4" t="s">
        <v>16</v>
      </c>
      <c r="H9" s="5">
        <v>48140000</v>
      </c>
      <c r="I9" s="7"/>
    </row>
    <row r="10" spans="1:9" ht="16.5" customHeight="1" x14ac:dyDescent="0.25">
      <c r="A10" s="3">
        <v>5</v>
      </c>
      <c r="B10" s="34"/>
      <c r="C10" s="4" t="s">
        <v>17</v>
      </c>
      <c r="D10" s="5">
        <v>3750000000</v>
      </c>
      <c r="E10" s="7"/>
      <c r="F10" s="37"/>
      <c r="G10" s="4" t="s">
        <v>18</v>
      </c>
      <c r="H10" s="5">
        <v>0</v>
      </c>
      <c r="I10" s="7"/>
    </row>
    <row r="11" spans="1:9" ht="16.5" customHeight="1" x14ac:dyDescent="0.25">
      <c r="A11" s="3">
        <v>6</v>
      </c>
      <c r="B11" s="34"/>
      <c r="C11" s="4" t="s">
        <v>49</v>
      </c>
      <c r="D11" s="5">
        <v>3898104397</v>
      </c>
      <c r="E11" s="7"/>
      <c r="F11" s="37"/>
      <c r="G11" s="4" t="s">
        <v>19</v>
      </c>
      <c r="H11" s="5">
        <v>36720000</v>
      </c>
      <c r="I11" s="7"/>
    </row>
    <row r="12" spans="1:9" ht="16.5" customHeight="1" x14ac:dyDescent="0.25">
      <c r="A12" s="3">
        <v>7</v>
      </c>
      <c r="B12" s="34"/>
      <c r="C12" s="4" t="s">
        <v>50</v>
      </c>
      <c r="D12" s="5">
        <v>0</v>
      </c>
      <c r="E12" s="7">
        <v>200000000</v>
      </c>
      <c r="F12" s="37"/>
      <c r="G12" s="4" t="s">
        <v>20</v>
      </c>
      <c r="H12" s="5">
        <v>200000000</v>
      </c>
      <c r="I12" s="7"/>
    </row>
    <row r="13" spans="1:9" ht="16.5" customHeight="1" x14ac:dyDescent="0.25">
      <c r="A13" s="3">
        <v>8</v>
      </c>
      <c r="B13" s="34"/>
      <c r="C13" s="4" t="s">
        <v>21</v>
      </c>
      <c r="D13" s="5">
        <v>2020000000</v>
      </c>
      <c r="E13" s="7">
        <v>100000000</v>
      </c>
      <c r="F13" s="37"/>
      <c r="G13" s="4" t="s">
        <v>22</v>
      </c>
      <c r="H13" s="5">
        <v>0</v>
      </c>
      <c r="I13" s="7"/>
    </row>
    <row r="14" spans="1:9" ht="16.5" customHeight="1" x14ac:dyDescent="0.25">
      <c r="A14" s="3">
        <v>9</v>
      </c>
      <c r="B14" s="34"/>
      <c r="C14" s="4" t="s">
        <v>23</v>
      </c>
      <c r="D14" s="5">
        <v>1150000000</v>
      </c>
      <c r="E14" s="7">
        <v>50000000</v>
      </c>
      <c r="F14" s="37"/>
      <c r="G14" s="4" t="s">
        <v>24</v>
      </c>
      <c r="H14" s="5">
        <v>190000000</v>
      </c>
      <c r="I14" s="7"/>
    </row>
    <row r="15" spans="1:9" ht="16.5" customHeight="1" x14ac:dyDescent="0.25">
      <c r="A15" s="3">
        <v>10</v>
      </c>
      <c r="B15" s="35"/>
      <c r="C15" s="4" t="s">
        <v>25</v>
      </c>
      <c r="D15" s="5">
        <v>30000000</v>
      </c>
      <c r="E15" s="7"/>
      <c r="F15" s="37"/>
      <c r="G15" s="4" t="s">
        <v>26</v>
      </c>
      <c r="H15" s="5">
        <v>649656068</v>
      </c>
      <c r="I15" s="7"/>
    </row>
    <row r="16" spans="1:9" x14ac:dyDescent="0.25">
      <c r="A16" s="3">
        <v>11</v>
      </c>
      <c r="B16" s="2"/>
      <c r="C16" s="2"/>
      <c r="D16" s="2"/>
      <c r="E16" s="7"/>
      <c r="F16" s="38"/>
      <c r="G16" s="4" t="s">
        <v>27</v>
      </c>
      <c r="H16" s="5">
        <v>0</v>
      </c>
      <c r="I16" s="7"/>
    </row>
    <row r="17" spans="1:9" x14ac:dyDescent="0.25">
      <c r="A17" s="3">
        <v>12</v>
      </c>
      <c r="B17" s="2"/>
      <c r="C17" s="2"/>
      <c r="D17" s="2"/>
      <c r="E17" s="7"/>
      <c r="F17" s="36" t="s">
        <v>28</v>
      </c>
      <c r="G17" s="4" t="s">
        <v>10</v>
      </c>
      <c r="H17" s="5">
        <v>1371777160</v>
      </c>
      <c r="I17" s="7"/>
    </row>
    <row r="18" spans="1:9" ht="30" x14ac:dyDescent="0.25">
      <c r="A18" s="3">
        <v>13</v>
      </c>
      <c r="B18" s="2"/>
      <c r="C18" s="2"/>
      <c r="D18" s="2"/>
      <c r="E18" s="7"/>
      <c r="F18" s="37"/>
      <c r="G18" s="4" t="s">
        <v>12</v>
      </c>
      <c r="H18" s="5">
        <v>0</v>
      </c>
      <c r="I18" s="7"/>
    </row>
    <row r="19" spans="1:9" ht="30" x14ac:dyDescent="0.25">
      <c r="A19" s="3">
        <v>14</v>
      </c>
      <c r="B19" s="2"/>
      <c r="C19" s="2"/>
      <c r="D19" s="2"/>
      <c r="E19" s="7"/>
      <c r="F19" s="37"/>
      <c r="G19" s="4" t="s">
        <v>14</v>
      </c>
      <c r="H19" s="5">
        <v>400000000</v>
      </c>
      <c r="I19" s="7"/>
    </row>
    <row r="20" spans="1:9" ht="30" x14ac:dyDescent="0.25">
      <c r="A20" s="3">
        <v>15</v>
      </c>
      <c r="B20" s="2"/>
      <c r="C20" s="2"/>
      <c r="D20" s="2"/>
      <c r="E20" s="7"/>
      <c r="F20" s="37"/>
      <c r="G20" s="4" t="s">
        <v>16</v>
      </c>
      <c r="H20" s="5">
        <v>251960000</v>
      </c>
      <c r="I20" s="7"/>
    </row>
    <row r="21" spans="1:9" ht="30" x14ac:dyDescent="0.25">
      <c r="A21" s="3">
        <v>16</v>
      </c>
      <c r="B21" s="2"/>
      <c r="C21" s="2"/>
      <c r="D21" s="2"/>
      <c r="E21" s="7"/>
      <c r="F21" s="37"/>
      <c r="G21" s="4" t="s">
        <v>19</v>
      </c>
      <c r="H21" s="5">
        <v>0</v>
      </c>
      <c r="I21" s="7"/>
    </row>
    <row r="22" spans="1:9" x14ac:dyDescent="0.25">
      <c r="A22" s="3">
        <v>17</v>
      </c>
      <c r="B22" s="2"/>
      <c r="C22" s="2"/>
      <c r="D22" s="2"/>
      <c r="E22" s="7"/>
      <c r="F22" s="37"/>
      <c r="G22" s="4" t="s">
        <v>20</v>
      </c>
      <c r="H22" s="5">
        <v>229500000</v>
      </c>
      <c r="I22" s="7"/>
    </row>
    <row r="23" spans="1:9" x14ac:dyDescent="0.25">
      <c r="A23" s="3">
        <v>18</v>
      </c>
      <c r="B23" s="2"/>
      <c r="C23" s="2"/>
      <c r="D23" s="2"/>
      <c r="E23" s="7"/>
      <c r="F23" s="37"/>
      <c r="G23" s="4" t="s">
        <v>22</v>
      </c>
      <c r="H23" s="5">
        <v>0</v>
      </c>
      <c r="I23" s="7"/>
    </row>
    <row r="24" spans="1:9" x14ac:dyDescent="0.25">
      <c r="A24" s="3">
        <v>19</v>
      </c>
      <c r="B24" s="2"/>
      <c r="C24" s="2"/>
      <c r="D24" s="2"/>
      <c r="E24" s="7"/>
      <c r="F24" s="37"/>
      <c r="G24" s="4" t="s">
        <v>29</v>
      </c>
      <c r="H24" s="5">
        <v>0</v>
      </c>
      <c r="I24" s="7"/>
    </row>
    <row r="25" spans="1:9" ht="30" x14ac:dyDescent="0.25">
      <c r="A25" s="3">
        <v>22</v>
      </c>
      <c r="B25" s="2"/>
      <c r="C25" s="2"/>
      <c r="D25" s="2"/>
      <c r="E25" s="7"/>
      <c r="F25" s="36" t="s">
        <v>46</v>
      </c>
      <c r="G25" s="4" t="s">
        <v>30</v>
      </c>
      <c r="H25" s="5">
        <v>783675000</v>
      </c>
      <c r="I25" s="7"/>
    </row>
    <row r="26" spans="1:9" x14ac:dyDescent="0.25">
      <c r="A26" s="3">
        <v>23</v>
      </c>
      <c r="B26" s="2"/>
      <c r="C26" s="2"/>
      <c r="D26" s="2"/>
      <c r="E26" s="7"/>
      <c r="F26" s="39"/>
      <c r="G26" s="4" t="s">
        <v>31</v>
      </c>
      <c r="H26" s="5">
        <v>27000000</v>
      </c>
      <c r="I26" s="7"/>
    </row>
    <row r="27" spans="1:9" x14ac:dyDescent="0.25">
      <c r="A27" s="3">
        <v>24</v>
      </c>
      <c r="B27" s="2"/>
      <c r="C27" s="2"/>
      <c r="D27" s="2"/>
      <c r="E27" s="7"/>
      <c r="F27" s="39"/>
      <c r="G27" s="4" t="s">
        <v>32</v>
      </c>
      <c r="H27" s="5">
        <v>800000000</v>
      </c>
      <c r="I27" s="7"/>
    </row>
    <row r="28" spans="1:9" ht="30" x14ac:dyDescent="0.25">
      <c r="A28" s="3">
        <v>25</v>
      </c>
      <c r="B28" s="2"/>
      <c r="C28" s="2"/>
      <c r="D28" s="2"/>
      <c r="E28" s="7"/>
      <c r="F28" s="39"/>
      <c r="G28" s="4" t="s">
        <v>33</v>
      </c>
      <c r="H28" s="5">
        <v>5520000</v>
      </c>
      <c r="I28" s="7"/>
    </row>
    <row r="29" spans="1:9" x14ac:dyDescent="0.25">
      <c r="A29" s="3">
        <v>26</v>
      </c>
      <c r="B29" s="2"/>
      <c r="C29" s="2"/>
      <c r="D29" s="2"/>
      <c r="E29" s="7"/>
      <c r="F29" s="39"/>
      <c r="G29" s="4" t="s">
        <v>34</v>
      </c>
      <c r="H29" s="5">
        <f>138412500+150030000</f>
        <v>288442500</v>
      </c>
      <c r="I29" s="7"/>
    </row>
    <row r="30" spans="1:9" x14ac:dyDescent="0.25">
      <c r="A30" s="3">
        <v>27</v>
      </c>
      <c r="B30" s="2"/>
      <c r="C30" s="2"/>
      <c r="D30" s="2"/>
      <c r="E30" s="7"/>
      <c r="F30" s="39"/>
      <c r="G30" s="4" t="s">
        <v>35</v>
      </c>
      <c r="H30" s="5">
        <v>0</v>
      </c>
      <c r="I30" s="7"/>
    </row>
    <row r="31" spans="1:9" x14ac:dyDescent="0.25">
      <c r="A31" s="3">
        <v>28</v>
      </c>
      <c r="B31" s="2"/>
      <c r="C31" s="2"/>
      <c r="D31" s="2"/>
      <c r="E31" s="7"/>
      <c r="F31" s="39"/>
      <c r="G31" s="4" t="s">
        <v>36</v>
      </c>
      <c r="H31" s="5">
        <f>50000000+50020000</f>
        <v>100020000</v>
      </c>
      <c r="I31" s="7"/>
    </row>
    <row r="32" spans="1:9" x14ac:dyDescent="0.25">
      <c r="A32" s="3">
        <v>29</v>
      </c>
      <c r="B32" s="2"/>
      <c r="C32" s="2"/>
      <c r="D32" s="2"/>
      <c r="E32" s="7"/>
      <c r="F32" s="39"/>
      <c r="G32" s="4" t="s">
        <v>37</v>
      </c>
      <c r="H32" s="5">
        <v>0</v>
      </c>
      <c r="I32" s="7"/>
    </row>
    <row r="33" spans="1:9" x14ac:dyDescent="0.25">
      <c r="A33" s="3">
        <v>30</v>
      </c>
      <c r="B33" s="2"/>
      <c r="C33" s="2"/>
      <c r="D33" s="2"/>
      <c r="E33" s="7"/>
      <c r="F33" s="39"/>
      <c r="G33" s="4" t="s">
        <v>38</v>
      </c>
      <c r="H33" s="5">
        <v>145000000</v>
      </c>
      <c r="I33" s="7"/>
    </row>
    <row r="34" spans="1:9" x14ac:dyDescent="0.25">
      <c r="A34" s="3">
        <v>31</v>
      </c>
      <c r="B34" s="2"/>
      <c r="C34" s="2"/>
      <c r="D34" s="2"/>
      <c r="E34" s="7"/>
      <c r="F34" s="39"/>
      <c r="G34" s="4" t="s">
        <v>39</v>
      </c>
      <c r="H34" s="5">
        <v>100000000</v>
      </c>
      <c r="I34" s="7"/>
    </row>
    <row r="35" spans="1:9" x14ac:dyDescent="0.25">
      <c r="A35" s="3"/>
      <c r="B35" s="2"/>
      <c r="C35" s="2"/>
      <c r="D35" s="2"/>
      <c r="E35" s="7"/>
      <c r="F35" s="39"/>
      <c r="G35" s="4" t="s">
        <v>48</v>
      </c>
      <c r="H35" s="5"/>
      <c r="I35" s="7">
        <v>15546816</v>
      </c>
    </row>
    <row r="36" spans="1:9" x14ac:dyDescent="0.25">
      <c r="A36" s="3">
        <v>32</v>
      </c>
      <c r="B36" s="2"/>
      <c r="C36" s="10"/>
      <c r="D36" s="2"/>
      <c r="E36" s="11"/>
      <c r="F36" s="39"/>
      <c r="G36" s="4" t="s">
        <v>40</v>
      </c>
      <c r="H36" s="5">
        <v>5886000</v>
      </c>
      <c r="I36" s="7"/>
    </row>
    <row r="37" spans="1:9" x14ac:dyDescent="0.25">
      <c r="A37" s="2"/>
      <c r="B37" s="2"/>
      <c r="C37" s="10" t="s">
        <v>45</v>
      </c>
      <c r="D37" s="2"/>
      <c r="E37" s="11">
        <f>SUM(E7:E36)</f>
        <v>1050000000</v>
      </c>
      <c r="F37" s="2"/>
      <c r="G37" s="9" t="s">
        <v>45</v>
      </c>
      <c r="H37" s="9"/>
      <c r="I37" s="11">
        <f>SUM(I6:I36)</f>
        <v>15546816</v>
      </c>
    </row>
    <row r="38" spans="1:9" ht="26.25" customHeight="1" x14ac:dyDescent="0.3">
      <c r="A38" s="29" t="s">
        <v>41</v>
      </c>
      <c r="B38" s="30"/>
      <c r="C38" s="30"/>
      <c r="D38" s="29" t="s">
        <v>47</v>
      </c>
      <c r="E38" s="30"/>
      <c r="F38" s="30"/>
      <c r="G38" s="29" t="s">
        <v>42</v>
      </c>
      <c r="H38" s="30"/>
      <c r="I38" s="30"/>
    </row>
    <row r="39" spans="1:9" x14ac:dyDescent="0.25">
      <c r="G39" s="31"/>
      <c r="H39" s="32"/>
      <c r="I39" s="32"/>
    </row>
  </sheetData>
  <mergeCells count="17">
    <mergeCell ref="A1:I1"/>
    <mergeCell ref="A2:I2"/>
    <mergeCell ref="A4:A5"/>
    <mergeCell ref="B4:B5"/>
    <mergeCell ref="C4:C5"/>
    <mergeCell ref="D4:E4"/>
    <mergeCell ref="F4:F5"/>
    <mergeCell ref="G4:G5"/>
    <mergeCell ref="H4:I4"/>
    <mergeCell ref="G38:I38"/>
    <mergeCell ref="G39:I39"/>
    <mergeCell ref="B6:B15"/>
    <mergeCell ref="F6:F16"/>
    <mergeCell ref="F17:F24"/>
    <mergeCell ref="F25:F36"/>
    <mergeCell ref="A38:C38"/>
    <mergeCell ref="D38:F38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E12" sqref="E12"/>
    </sheetView>
  </sheetViews>
  <sheetFormatPr defaultRowHeight="15" x14ac:dyDescent="0.25"/>
  <cols>
    <col min="1" max="1" width="4" customWidth="1"/>
    <col min="2" max="2" width="11.28515625" customWidth="1"/>
    <col min="3" max="3" width="26.5703125" customWidth="1"/>
    <col min="4" max="4" width="12.5703125" customWidth="1"/>
    <col min="5" max="5" width="13.140625" customWidth="1"/>
    <col min="6" max="6" width="12.5703125" style="8" customWidth="1"/>
    <col min="7" max="7" width="12.140625" customWidth="1"/>
    <col min="8" max="8" width="28.42578125" customWidth="1"/>
    <col min="9" max="9" width="13.42578125" customWidth="1"/>
    <col min="10" max="10" width="14.140625" customWidth="1"/>
    <col min="11" max="11" width="13.5703125" style="8" customWidth="1"/>
  </cols>
  <sheetData>
    <row r="1" spans="1:11" x14ac:dyDescent="0.25">
      <c r="A1" s="19" t="s">
        <v>54</v>
      </c>
    </row>
    <row r="2" spans="1:11" ht="34.5" customHeight="1" x14ac:dyDescent="0.35">
      <c r="A2" s="40" t="s">
        <v>51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" customHeight="1" x14ac:dyDescent="0.3">
      <c r="A3" s="42" t="s">
        <v>60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5" spans="1:11" ht="26.25" customHeight="1" x14ac:dyDescent="0.25">
      <c r="A5" s="33" t="s">
        <v>0</v>
      </c>
      <c r="B5" s="33" t="s">
        <v>1</v>
      </c>
      <c r="C5" s="33" t="s">
        <v>2</v>
      </c>
      <c r="D5" s="44" t="s">
        <v>3</v>
      </c>
      <c r="E5" s="45"/>
      <c r="F5" s="46"/>
      <c r="G5" s="33" t="s">
        <v>4</v>
      </c>
      <c r="H5" s="33" t="s">
        <v>2</v>
      </c>
      <c r="I5" s="44" t="s">
        <v>3</v>
      </c>
      <c r="J5" s="45"/>
      <c r="K5" s="46"/>
    </row>
    <row r="6" spans="1:11" ht="31.5" customHeight="1" x14ac:dyDescent="0.25">
      <c r="A6" s="43"/>
      <c r="B6" s="43"/>
      <c r="C6" s="43"/>
      <c r="D6" s="1" t="s">
        <v>55</v>
      </c>
      <c r="E6" s="1" t="s">
        <v>5</v>
      </c>
      <c r="F6" s="6" t="s">
        <v>6</v>
      </c>
      <c r="G6" s="43"/>
      <c r="H6" s="43"/>
      <c r="I6" s="1" t="s">
        <v>55</v>
      </c>
      <c r="J6" s="1" t="s">
        <v>5</v>
      </c>
      <c r="K6" s="6" t="s">
        <v>6</v>
      </c>
    </row>
    <row r="7" spans="1:11" ht="25.5" customHeight="1" x14ac:dyDescent="0.25">
      <c r="A7" s="18">
        <v>1</v>
      </c>
      <c r="B7" s="47" t="s">
        <v>61</v>
      </c>
      <c r="C7" s="4" t="s">
        <v>8</v>
      </c>
      <c r="D7" s="20">
        <f>156668420</f>
        <v>156668420</v>
      </c>
      <c r="E7" s="21">
        <f>3067761000+553177000+930313300</f>
        <v>4551251300</v>
      </c>
      <c r="F7" s="21">
        <v>100000000</v>
      </c>
      <c r="G7" s="50" t="s">
        <v>46</v>
      </c>
      <c r="H7" s="4" t="s">
        <v>36</v>
      </c>
      <c r="I7" s="20">
        <v>146767200</v>
      </c>
      <c r="J7" s="21">
        <f>50000000+50000000</f>
        <v>100000000</v>
      </c>
      <c r="K7" s="25">
        <v>50000000</v>
      </c>
    </row>
    <row r="8" spans="1:11" ht="28.5" customHeight="1" x14ac:dyDescent="0.25">
      <c r="A8" s="18">
        <v>2</v>
      </c>
      <c r="B8" s="48"/>
      <c r="C8" s="4" t="s">
        <v>57</v>
      </c>
      <c r="D8" s="21">
        <v>506985265</v>
      </c>
      <c r="E8" s="21">
        <f>9249700380+1790198600+310101020+7552241000</f>
        <v>18902241000</v>
      </c>
      <c r="F8" s="21">
        <v>200000000</v>
      </c>
      <c r="G8" s="51"/>
      <c r="H8" s="4" t="s">
        <v>32</v>
      </c>
      <c r="I8" s="21">
        <v>-162271840</v>
      </c>
      <c r="J8" s="21">
        <v>800000000</v>
      </c>
      <c r="K8" s="26"/>
    </row>
    <row r="9" spans="1:11" ht="27.75" customHeight="1" x14ac:dyDescent="0.25">
      <c r="A9" s="18">
        <v>3</v>
      </c>
      <c r="B9" s="48"/>
      <c r="C9" s="4" t="s">
        <v>15</v>
      </c>
      <c r="D9" s="21">
        <v>34508200</v>
      </c>
      <c r="E9" s="21">
        <v>1448900800</v>
      </c>
      <c r="F9" s="21"/>
      <c r="G9" s="51"/>
      <c r="H9" s="4" t="s">
        <v>30</v>
      </c>
      <c r="I9" s="21"/>
      <c r="J9" s="21">
        <v>783675000</v>
      </c>
      <c r="K9" s="24"/>
    </row>
    <row r="10" spans="1:11" ht="24.75" customHeight="1" x14ac:dyDescent="0.25">
      <c r="A10" s="18">
        <v>4</v>
      </c>
      <c r="B10" s="48"/>
      <c r="C10" s="4" t="s">
        <v>21</v>
      </c>
      <c r="D10" s="21">
        <v>229717000</v>
      </c>
      <c r="E10" s="21">
        <v>2020000000</v>
      </c>
      <c r="F10" s="21">
        <v>100000000</v>
      </c>
      <c r="G10" s="51"/>
      <c r="H10" s="4" t="s">
        <v>31</v>
      </c>
      <c r="I10" s="21">
        <v>9200000</v>
      </c>
      <c r="J10" s="21">
        <v>27000000</v>
      </c>
      <c r="K10" s="25">
        <v>9000000</v>
      </c>
    </row>
    <row r="11" spans="1:11" ht="24.75" customHeight="1" x14ac:dyDescent="0.25">
      <c r="A11" s="18">
        <v>5</v>
      </c>
      <c r="B11" s="48"/>
      <c r="C11" s="4" t="s">
        <v>13</v>
      </c>
      <c r="D11" s="21">
        <f>315648111</f>
        <v>315648111</v>
      </c>
      <c r="E11" s="21">
        <f>9572944611+1920350389+222232500</f>
        <v>11715527500</v>
      </c>
      <c r="F11" s="21">
        <v>100000000</v>
      </c>
      <c r="G11" s="51"/>
      <c r="H11" s="4" t="s">
        <v>34</v>
      </c>
      <c r="I11" s="21">
        <v>339620000</v>
      </c>
      <c r="J11" s="21">
        <v>288412500</v>
      </c>
      <c r="K11" s="25">
        <v>200000000</v>
      </c>
    </row>
    <row r="12" spans="1:11" ht="30.75" customHeight="1" x14ac:dyDescent="0.25">
      <c r="A12" s="18">
        <v>6</v>
      </c>
      <c r="B12" s="48"/>
      <c r="C12" s="4" t="s">
        <v>23</v>
      </c>
      <c r="D12" s="21">
        <v>148120000</v>
      </c>
      <c r="E12" s="21">
        <f>891380000+3100000</f>
        <v>894480000</v>
      </c>
      <c r="F12" s="21">
        <v>100000000</v>
      </c>
      <c r="G12" s="51"/>
      <c r="H12" s="4" t="s">
        <v>56</v>
      </c>
      <c r="I12" s="21">
        <v>79160000</v>
      </c>
      <c r="J12" s="21">
        <v>5520000</v>
      </c>
      <c r="K12" s="25">
        <v>70000000</v>
      </c>
    </row>
    <row r="13" spans="1:11" ht="24" customHeight="1" x14ac:dyDescent="0.25">
      <c r="A13" s="18">
        <v>7</v>
      </c>
      <c r="B13" s="48"/>
      <c r="C13" s="4" t="s">
        <v>17</v>
      </c>
      <c r="D13" s="21">
        <v>19010188</v>
      </c>
      <c r="E13" s="21">
        <f>3371185714+242514286+79300000</f>
        <v>3693000000</v>
      </c>
      <c r="F13" s="21"/>
      <c r="G13" s="51"/>
      <c r="H13" s="4" t="s">
        <v>38</v>
      </c>
      <c r="I13" s="21"/>
      <c r="J13" s="21">
        <v>145000000</v>
      </c>
      <c r="K13" s="25"/>
    </row>
    <row r="14" spans="1:11" ht="24" customHeight="1" x14ac:dyDescent="0.25">
      <c r="A14" s="18">
        <v>8</v>
      </c>
      <c r="B14" s="48"/>
      <c r="C14" s="4" t="s">
        <v>49</v>
      </c>
      <c r="D14" s="21">
        <f>197546453+3505600</f>
        <v>201052053</v>
      </c>
      <c r="E14" s="21">
        <v>3898104397</v>
      </c>
      <c r="F14" s="21">
        <v>100000000</v>
      </c>
      <c r="G14" s="51"/>
      <c r="H14" s="4" t="s">
        <v>58</v>
      </c>
      <c r="I14" s="21">
        <v>219536300</v>
      </c>
      <c r="J14" s="21">
        <v>0</v>
      </c>
      <c r="K14" s="25">
        <v>100000000</v>
      </c>
    </row>
    <row r="15" spans="1:11" ht="24" customHeight="1" x14ac:dyDescent="0.25">
      <c r="A15" s="18">
        <v>9</v>
      </c>
      <c r="B15" s="48"/>
      <c r="C15" s="4" t="s">
        <v>50</v>
      </c>
      <c r="D15" s="21">
        <v>110000000</v>
      </c>
      <c r="E15" s="21">
        <v>578104397</v>
      </c>
      <c r="F15" s="21">
        <v>50000000</v>
      </c>
      <c r="G15" s="51"/>
      <c r="H15" s="4" t="s">
        <v>39</v>
      </c>
      <c r="I15" s="21"/>
      <c r="J15" s="21">
        <v>100000000</v>
      </c>
      <c r="K15" s="25"/>
    </row>
    <row r="16" spans="1:11" ht="26.25" customHeight="1" x14ac:dyDescent="0.25">
      <c r="A16" s="18">
        <v>10</v>
      </c>
      <c r="B16" s="48"/>
      <c r="C16" s="13" t="s">
        <v>25</v>
      </c>
      <c r="D16" s="21">
        <v>31830000</v>
      </c>
      <c r="E16" s="22">
        <v>30000000</v>
      </c>
      <c r="F16" s="21"/>
      <c r="G16" s="51"/>
      <c r="H16" s="4" t="s">
        <v>35</v>
      </c>
      <c r="I16" s="21">
        <v>89175000</v>
      </c>
      <c r="J16" s="21">
        <v>0</v>
      </c>
      <c r="K16" s="25">
        <v>50000000</v>
      </c>
    </row>
    <row r="17" spans="1:11" ht="24" customHeight="1" x14ac:dyDescent="0.25">
      <c r="A17" s="18">
        <v>11</v>
      </c>
      <c r="B17" s="49"/>
      <c r="C17" s="4" t="s">
        <v>53</v>
      </c>
      <c r="D17" s="21">
        <v>17280000</v>
      </c>
      <c r="E17" s="23"/>
      <c r="F17" s="21">
        <v>17280000</v>
      </c>
      <c r="G17" s="52"/>
      <c r="H17" s="4" t="s">
        <v>48</v>
      </c>
      <c r="I17" s="21"/>
      <c r="J17" s="27"/>
      <c r="K17" s="25"/>
    </row>
    <row r="18" spans="1:11" ht="24" customHeight="1" x14ac:dyDescent="0.25">
      <c r="A18" s="18">
        <v>12</v>
      </c>
      <c r="B18" s="2"/>
      <c r="C18" s="2"/>
      <c r="D18" s="21"/>
      <c r="E18" s="23"/>
      <c r="F18" s="24"/>
      <c r="G18" s="14" t="s">
        <v>52</v>
      </c>
      <c r="H18" s="4" t="s">
        <v>31</v>
      </c>
      <c r="I18" s="21">
        <v>44750000</v>
      </c>
      <c r="J18" s="21">
        <v>30000000</v>
      </c>
      <c r="K18" s="25">
        <v>30000000</v>
      </c>
    </row>
    <row r="19" spans="1:11" ht="18" hidden="1" customHeight="1" x14ac:dyDescent="0.25">
      <c r="A19" s="18">
        <v>15</v>
      </c>
      <c r="B19" s="2"/>
      <c r="C19" s="2"/>
      <c r="D19" s="2"/>
      <c r="E19" s="2"/>
      <c r="F19" s="7"/>
      <c r="G19" s="36" t="s">
        <v>28</v>
      </c>
      <c r="H19" s="4" t="s">
        <v>10</v>
      </c>
      <c r="I19" s="4"/>
      <c r="J19" s="5">
        <v>1371777160</v>
      </c>
      <c r="K19" s="7"/>
    </row>
    <row r="20" spans="1:11" ht="30" hidden="1" customHeight="1" x14ac:dyDescent="0.25">
      <c r="A20" s="18">
        <v>16</v>
      </c>
      <c r="B20" s="2"/>
      <c r="C20" s="2"/>
      <c r="D20" s="2"/>
      <c r="E20" s="2"/>
      <c r="F20" s="7"/>
      <c r="G20" s="39"/>
      <c r="H20" s="4" t="s">
        <v>12</v>
      </c>
      <c r="I20" s="4"/>
      <c r="J20" s="5">
        <v>0</v>
      </c>
      <c r="K20" s="7"/>
    </row>
    <row r="21" spans="1:11" ht="18" hidden="1" customHeight="1" x14ac:dyDescent="0.25">
      <c r="A21" s="18">
        <v>17</v>
      </c>
      <c r="B21" s="2"/>
      <c r="C21" s="2"/>
      <c r="D21" s="2"/>
      <c r="E21" s="2"/>
      <c r="F21" s="7"/>
      <c r="G21" s="39"/>
      <c r="H21" s="4" t="s">
        <v>14</v>
      </c>
      <c r="I21" s="4"/>
      <c r="J21" s="5">
        <v>400000000</v>
      </c>
      <c r="K21" s="7"/>
    </row>
    <row r="22" spans="1:11" ht="18" hidden="1" customHeight="1" x14ac:dyDescent="0.25">
      <c r="A22" s="18">
        <v>18</v>
      </c>
      <c r="B22" s="2"/>
      <c r="C22" s="2"/>
      <c r="D22" s="2"/>
      <c r="E22" s="2"/>
      <c r="F22" s="7"/>
      <c r="G22" s="39"/>
      <c r="H22" s="4" t="s">
        <v>16</v>
      </c>
      <c r="I22" s="4"/>
      <c r="J22" s="5">
        <v>251960000</v>
      </c>
      <c r="K22" s="7"/>
    </row>
    <row r="23" spans="1:11" ht="18" hidden="1" customHeight="1" x14ac:dyDescent="0.25">
      <c r="A23" s="18">
        <v>19</v>
      </c>
      <c r="B23" s="2"/>
      <c r="C23" s="2"/>
      <c r="D23" s="2"/>
      <c r="E23" s="2"/>
      <c r="F23" s="7"/>
      <c r="G23" s="39"/>
      <c r="H23" s="4" t="s">
        <v>19</v>
      </c>
      <c r="I23" s="4"/>
      <c r="J23" s="5">
        <v>0</v>
      </c>
      <c r="K23" s="7"/>
    </row>
    <row r="24" spans="1:11" ht="18" hidden="1" customHeight="1" x14ac:dyDescent="0.25">
      <c r="A24" s="18">
        <v>20</v>
      </c>
      <c r="B24" s="2"/>
      <c r="C24" s="2"/>
      <c r="D24" s="2"/>
      <c r="E24" s="2"/>
      <c r="F24" s="7"/>
      <c r="G24" s="39"/>
      <c r="H24" s="4" t="s">
        <v>20</v>
      </c>
      <c r="I24" s="4"/>
      <c r="J24" s="5">
        <v>229500000</v>
      </c>
      <c r="K24" s="7"/>
    </row>
    <row r="25" spans="1:11" ht="18" hidden="1" customHeight="1" x14ac:dyDescent="0.25">
      <c r="A25" s="18">
        <v>21</v>
      </c>
      <c r="B25" s="2"/>
      <c r="C25" s="2"/>
      <c r="D25" s="2"/>
      <c r="E25" s="2"/>
      <c r="F25" s="7"/>
      <c r="G25" s="39"/>
      <c r="H25" s="4" t="s">
        <v>22</v>
      </c>
      <c r="I25" s="4"/>
      <c r="J25" s="5">
        <v>0</v>
      </c>
      <c r="K25" s="7"/>
    </row>
    <row r="26" spans="1:11" ht="18" hidden="1" customHeight="1" x14ac:dyDescent="0.25">
      <c r="A26" s="18">
        <v>22</v>
      </c>
      <c r="B26" s="2"/>
      <c r="C26" s="2"/>
      <c r="D26" s="2"/>
      <c r="E26" s="2"/>
      <c r="F26" s="7"/>
      <c r="G26" s="39"/>
      <c r="H26" s="4" t="s">
        <v>29</v>
      </c>
      <c r="I26" s="4"/>
      <c r="J26" s="5">
        <v>0</v>
      </c>
      <c r="K26" s="7"/>
    </row>
    <row r="27" spans="1:11" hidden="1" x14ac:dyDescent="0.25">
      <c r="A27" s="18">
        <v>23</v>
      </c>
      <c r="B27" s="2"/>
      <c r="C27" s="2"/>
      <c r="D27" s="2"/>
      <c r="E27" s="2"/>
      <c r="F27" s="7"/>
      <c r="G27" s="39"/>
      <c r="H27" s="4"/>
      <c r="I27" s="4"/>
      <c r="J27" s="5"/>
      <c r="K27" s="7"/>
    </row>
    <row r="28" spans="1:11" ht="25.5" customHeight="1" x14ac:dyDescent="0.25">
      <c r="A28" s="2"/>
      <c r="B28" s="2"/>
      <c r="C28" s="10" t="s">
        <v>45</v>
      </c>
      <c r="D28" s="10"/>
      <c r="E28" s="2"/>
      <c r="F28" s="11">
        <f>SUM(F7:F27)</f>
        <v>767280000</v>
      </c>
      <c r="G28" s="2"/>
      <c r="H28" s="9" t="s">
        <v>45</v>
      </c>
      <c r="I28" s="9"/>
      <c r="J28" s="9"/>
      <c r="K28" s="11">
        <f>SUM(K7:K27)</f>
        <v>509000000</v>
      </c>
    </row>
    <row r="29" spans="1:11" x14ac:dyDescent="0.25">
      <c r="C29" s="15"/>
      <c r="D29" s="15"/>
      <c r="F29" s="16"/>
      <c r="H29" s="17"/>
      <c r="I29" s="17"/>
      <c r="J29" s="17"/>
      <c r="K29" s="16"/>
    </row>
    <row r="30" spans="1:11" ht="25.5" customHeight="1" x14ac:dyDescent="0.3">
      <c r="A30" s="28"/>
      <c r="B30" s="12"/>
      <c r="C30" s="28" t="s">
        <v>42</v>
      </c>
      <c r="D30" s="12"/>
      <c r="E30" s="29"/>
      <c r="F30" s="30"/>
      <c r="G30" s="30"/>
      <c r="I30" s="28" t="s">
        <v>59</v>
      </c>
      <c r="J30" s="12"/>
      <c r="K30" s="12"/>
    </row>
    <row r="31" spans="1:11" x14ac:dyDescent="0.25">
      <c r="H31" s="31"/>
      <c r="I31" s="31"/>
      <c r="J31" s="32"/>
      <c r="K31" s="32"/>
    </row>
  </sheetData>
  <mergeCells count="14">
    <mergeCell ref="H31:K31"/>
    <mergeCell ref="B7:B17"/>
    <mergeCell ref="G7:G17"/>
    <mergeCell ref="G19:G27"/>
    <mergeCell ref="E30:G30"/>
    <mergeCell ref="A2:K2"/>
    <mergeCell ref="A3:K3"/>
    <mergeCell ref="A5:A6"/>
    <mergeCell ref="B5:B6"/>
    <mergeCell ref="C5:C6"/>
    <mergeCell ref="G5:G6"/>
    <mergeCell ref="H5:H6"/>
    <mergeCell ref="D5:F5"/>
    <mergeCell ref="I5:K5"/>
  </mergeCells>
  <pageMargins left="0.27559055118110237" right="0.15748031496062992" top="0.19685039370078741" bottom="0.19685039370078741" header="0.51181102362204722" footer="0.51181102362204722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Thang 4</vt:lpstr>
      <vt:lpstr>Kế hoạch TT tiền vật tư T5</vt:lpstr>
      <vt:lpstr>'Kế hoạch TT tiền vật tư T5'!Print_Area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Tho XDNQ</cp:lastModifiedBy>
  <cp:lastPrinted>2026-05-12T04:10:49Z</cp:lastPrinted>
  <dcterms:created xsi:type="dcterms:W3CDTF">2026-04-15T09:36:02Z</dcterms:created>
  <dcterms:modified xsi:type="dcterms:W3CDTF">2026-05-13T00:48:29Z</dcterms:modified>
</cp:coreProperties>
</file>