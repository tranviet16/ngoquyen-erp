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 firstSheet="1" activeTab="3"/>
  </bookViews>
  <sheets>
    <sheet name="SGV" sheetId="4" state="veryHidden" r:id="rId1"/>
    <sheet name="Vật tư ngày" sheetId="1" r:id="rId2"/>
    <sheet name="Vật tư tháng Trại Chuối" sheetId="2" r:id="rId3"/>
    <sheet name="VT tháng Dải cây xanh" sheetId="5" r:id="rId4"/>
    <sheet name="Đối chiếu công nợ" sheetId="3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5" i="3" l="1"/>
  <c r="F54" i="3"/>
  <c r="F53" i="3"/>
  <c r="F52" i="3"/>
  <c r="F51" i="3"/>
  <c r="F50" i="3"/>
  <c r="F49" i="3"/>
  <c r="F48" i="3"/>
  <c r="F14" i="3" l="1"/>
  <c r="C18" i="3" l="1"/>
  <c r="F16" i="3" l="1"/>
  <c r="F15" i="3"/>
  <c r="F18" i="3" l="1"/>
  <c r="F19" i="3" s="1"/>
</calcChain>
</file>

<file path=xl/sharedStrings.xml><?xml version="1.0" encoding="utf-8"?>
<sst xmlns="http://schemas.openxmlformats.org/spreadsheetml/2006/main" count="133" uniqueCount="48">
  <si>
    <t>STT</t>
  </si>
  <si>
    <t>Ngày/tháng/năm</t>
  </si>
  <si>
    <t>ĐVT</t>
  </si>
  <si>
    <t>Cán bộ vật tư</t>
  </si>
  <si>
    <t>Chỉ huy 
công trường</t>
  </si>
  <si>
    <t>Khối
 lượng</t>
  </si>
  <si>
    <t>Kế toán
 phụ trách</t>
  </si>
  <si>
    <t>BẢNG THEO DÕI HÀNG NGÀY</t>
  </si>
  <si>
    <t>BẢNG TỔNG HỢP VẬT TƯ THÁNG</t>
  </si>
  <si>
    <t>Ghi chú</t>
  </si>
  <si>
    <t>BẢNG ĐỐI CHIẾU CÔNG NỢ</t>
  </si>
  <si>
    <t>Đơn giá</t>
  </si>
  <si>
    <t>Thành tiền</t>
  </si>
  <si>
    <t>CÔNG TY CP XÂY DỰNG NGÔ QUYỀN</t>
  </si>
  <si>
    <t>Chúng tôi gồm các bên:</t>
  </si>
  <si>
    <t>Đại diện: Công ty CP Xây dựng Ngô Quyền ( Bên mua )</t>
  </si>
  <si>
    <t>Ông: Nguyễn Hoàng Sơn            Chức vụ: CB Vật tư</t>
  </si>
  <si>
    <t>Công trình: Trại Chuối</t>
  </si>
  <si>
    <t xml:space="preserve">            Kế toán phụ trách</t>
  </si>
  <si>
    <t>A</t>
  </si>
  <si>
    <t>Cộng P/S</t>
  </si>
  <si>
    <t>B</t>
  </si>
  <si>
    <t>A+B</t>
  </si>
  <si>
    <t>Tổng nợ</t>
  </si>
  <si>
    <t>Ông ( Bà ):………………………………………………...Chức vụ:………………</t>
  </si>
  <si>
    <t>Hải Phòng, ngày ... tháng ... năm 2026</t>
  </si>
  <si>
    <t>Tháng: 05/2026</t>
  </si>
  <si>
    <t xml:space="preserve">   Đại diện bên bán                                Kế toán phụ trách                                    Cán bộ vật tư</t>
  </si>
  <si>
    <t>Tên vật tư: Lộc Tài HT</t>
  </si>
  <si>
    <t>Ngày chốt khối lượng của tháng: Từ ngày 01/5/2026 đến ngày 26/5/2026</t>
  </si>
  <si>
    <t>Ca</t>
  </si>
  <si>
    <t>Tên vật tư: Máy xúc</t>
  </si>
  <si>
    <t>Số công nợ xi măng từ ngày 01/05/2026 đến hết ngày 26/05/2026 như sau:</t>
  </si>
  <si>
    <t>Công trình: Trại Chuối + Dải cây xanh</t>
  </si>
  <si>
    <t>Dư nợ mang sang: Hết 30/4/2026</t>
  </si>
  <si>
    <t>Đại diện: Công ty TNHH Lộc Tài HT ( Bên bán )</t>
  </si>
  <si>
    <t>Kính đề nghị quý Công ty TNHH Lộc Tài HT kiểm tra và ký xác nhận đối chiếu công nợ vật tư tháng ( nếu có gì cần điều chỉnh xin liên hệ với Cán bộ vật tư hiện đang làm việc với quý Công ty để làm rõ )</t>
  </si>
  <si>
    <t>Dư nợ mang sang: Hết 26/5/2026</t>
  </si>
  <si>
    <t>Ngày chốt khối lượng của tháng: Từ ngày 26/5/2026 đến ngày 26/6/2026</t>
  </si>
  <si>
    <t>22/6/2026</t>
  </si>
  <si>
    <t>Tháng: 06/2026</t>
  </si>
  <si>
    <t>Số công nợ máy xúc từ ngày 26/05/2026 đến hết ngày 26/06/2026 như sau:</t>
  </si>
  <si>
    <t>Cộng Trại Chuối</t>
  </si>
  <si>
    <t>19/6/2026</t>
  </si>
  <si>
    <t>25/6/2026</t>
  </si>
  <si>
    <t>26/6/2026</t>
  </si>
  <si>
    <t>Cộng dải cây xanh</t>
  </si>
  <si>
    <t>Công trình: Dải cây xanh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</si>
</sst>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;[Red]#,##0.0"/>
    <numFmt numFmtId="165" formatCode="#,##0;[Red]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1" fillId="0" borderId="0" xfId="0" applyNumberFormat="1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0" xfId="0" applyNumberFormat="1" applyFont="1"/>
    <xf numFmtId="165" fontId="2" fillId="0" borderId="0" xfId="0" applyNumberFormat="1" applyFont="1"/>
    <xf numFmtId="165" fontId="4" fillId="0" borderId="1" xfId="0" applyNumberFormat="1" applyFont="1" applyBorder="1" applyAlignment="1">
      <alignment horizontal="center" vertical="center"/>
    </xf>
    <xf numFmtId="165" fontId="1" fillId="0" borderId="0" xfId="0" applyNumberFormat="1" applyFont="1"/>
    <xf numFmtId="165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 wrapText="1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165" fontId="4" fillId="0" borderId="0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quotePrefix="1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53"/>
  <sheetViews>
    <sheetView topLeftCell="A28" workbookViewId="0">
      <selection activeCell="A39" sqref="A39:D39"/>
    </sheetView>
  </sheetViews>
  <sheetFormatPr defaultRowHeight="15" x14ac:dyDescent="0.25"/>
  <cols>
    <col min="1" max="1" width="5.85546875" style="1" customWidth="1"/>
    <col min="2" max="2" width="16.5703125" style="1" customWidth="1"/>
    <col min="3" max="3" width="8.85546875" style="4" customWidth="1"/>
    <col min="4" max="4" width="7.85546875" style="1" customWidth="1"/>
    <col min="5" max="5" width="16.7109375" style="1" customWidth="1"/>
    <col min="6" max="6" width="18.7109375" style="1" customWidth="1"/>
    <col min="7" max="7" width="17.85546875" style="1" customWidth="1"/>
    <col min="8" max="16384" width="9.140625" style="1"/>
  </cols>
  <sheetData>
    <row r="1" spans="1:7" ht="26.25" customHeight="1" x14ac:dyDescent="0.25">
      <c r="A1" s="42" t="s">
        <v>13</v>
      </c>
      <c r="B1" s="42"/>
      <c r="C1" s="42"/>
      <c r="D1" s="42"/>
      <c r="E1" s="42"/>
    </row>
    <row r="2" spans="1:7" ht="28.5" customHeight="1" x14ac:dyDescent="0.25">
      <c r="A2" s="43" t="s">
        <v>7</v>
      </c>
      <c r="B2" s="43"/>
      <c r="C2" s="43"/>
      <c r="D2" s="43"/>
      <c r="E2" s="43"/>
      <c r="F2" s="43"/>
      <c r="G2" s="43"/>
    </row>
    <row r="3" spans="1:7" s="5" customFormat="1" ht="24" customHeight="1" x14ac:dyDescent="0.25">
      <c r="A3" s="44" t="s">
        <v>17</v>
      </c>
      <c r="B3" s="44"/>
      <c r="C3" s="44"/>
      <c r="D3" s="44"/>
      <c r="E3" s="44"/>
      <c r="F3" s="44"/>
      <c r="G3" s="44"/>
    </row>
    <row r="4" spans="1:7" s="5" customFormat="1" ht="24" customHeight="1" x14ac:dyDescent="0.25">
      <c r="A4" s="44" t="s">
        <v>28</v>
      </c>
      <c r="B4" s="44"/>
      <c r="C4" s="44"/>
      <c r="D4" s="44"/>
      <c r="E4" s="44"/>
      <c r="F4" s="44"/>
      <c r="G4" s="44"/>
    </row>
    <row r="5" spans="1:7" s="5" customFormat="1" ht="24" customHeight="1" x14ac:dyDescent="0.25">
      <c r="A5" s="44" t="s">
        <v>29</v>
      </c>
      <c r="B5" s="44"/>
      <c r="C5" s="44"/>
      <c r="D5" s="44"/>
      <c r="E5" s="44"/>
      <c r="F5" s="44"/>
      <c r="G5" s="44"/>
    </row>
    <row r="6" spans="1:7" s="5" customFormat="1" ht="18" customHeight="1" x14ac:dyDescent="0.25">
      <c r="A6" s="2"/>
      <c r="B6" s="2"/>
      <c r="C6" s="3"/>
      <c r="D6" s="2"/>
      <c r="E6" s="2"/>
      <c r="F6" s="2"/>
      <c r="G6" s="2"/>
    </row>
    <row r="7" spans="1:7" s="5" customFormat="1" ht="38.25" customHeight="1" x14ac:dyDescent="0.25">
      <c r="A7" s="6" t="s">
        <v>0</v>
      </c>
      <c r="B7" s="6" t="s">
        <v>1</v>
      </c>
      <c r="C7" s="7" t="s">
        <v>5</v>
      </c>
      <c r="D7" s="6" t="s">
        <v>2</v>
      </c>
      <c r="E7" s="6" t="s">
        <v>3</v>
      </c>
      <c r="F7" s="8" t="s">
        <v>4</v>
      </c>
      <c r="G7" s="8" t="s">
        <v>6</v>
      </c>
    </row>
    <row r="8" spans="1:7" s="5" customFormat="1" ht="26.25" customHeight="1" x14ac:dyDescent="0.25">
      <c r="A8" s="19">
        <v>1</v>
      </c>
      <c r="B8" s="32">
        <v>46147</v>
      </c>
      <c r="C8" s="21">
        <v>0.5</v>
      </c>
      <c r="D8" s="19" t="s">
        <v>30</v>
      </c>
      <c r="E8" s="9"/>
      <c r="F8" s="9"/>
      <c r="G8" s="9"/>
    </row>
    <row r="9" spans="1:7" s="5" customFormat="1" ht="26.25" customHeight="1" x14ac:dyDescent="0.25">
      <c r="A9" s="19">
        <v>2</v>
      </c>
      <c r="B9" s="32">
        <v>46178</v>
      </c>
      <c r="C9" s="21">
        <v>0.5</v>
      </c>
      <c r="D9" s="19" t="s">
        <v>30</v>
      </c>
      <c r="E9" s="9"/>
      <c r="F9" s="9"/>
      <c r="G9" s="9"/>
    </row>
    <row r="10" spans="1:7" s="5" customFormat="1" ht="26.25" customHeight="1" x14ac:dyDescent="0.25">
      <c r="A10" s="9"/>
      <c r="B10" s="10"/>
      <c r="C10" s="11"/>
      <c r="D10" s="9"/>
      <c r="E10" s="9"/>
      <c r="F10" s="9"/>
      <c r="G10" s="9"/>
    </row>
    <row r="11" spans="1:7" s="5" customFormat="1" ht="16.5" x14ac:dyDescent="0.25">
      <c r="A11" s="9"/>
      <c r="B11" s="10"/>
      <c r="C11" s="11"/>
      <c r="D11" s="9"/>
      <c r="E11" s="9"/>
      <c r="F11" s="9"/>
      <c r="G11" s="9"/>
    </row>
    <row r="12" spans="1:7" s="5" customFormat="1" ht="16.5" x14ac:dyDescent="0.25">
      <c r="A12" s="9"/>
      <c r="B12" s="10"/>
      <c r="C12" s="11"/>
      <c r="D12" s="9"/>
      <c r="E12" s="9"/>
      <c r="F12" s="9"/>
      <c r="G12" s="9"/>
    </row>
    <row r="13" spans="1:7" s="5" customFormat="1" ht="16.5" x14ac:dyDescent="0.25">
      <c r="A13" s="9"/>
      <c r="B13" s="12"/>
      <c r="C13" s="11"/>
      <c r="D13" s="9"/>
      <c r="E13" s="9"/>
      <c r="F13" s="9"/>
      <c r="G13" s="9"/>
    </row>
    <row r="14" spans="1:7" s="5" customFormat="1" ht="16.5" x14ac:dyDescent="0.25">
      <c r="A14" s="9"/>
      <c r="B14" s="9"/>
      <c r="C14" s="11"/>
      <c r="D14" s="9"/>
      <c r="E14" s="9"/>
      <c r="F14" s="9"/>
      <c r="G14" s="9"/>
    </row>
    <row r="15" spans="1:7" s="5" customFormat="1" ht="16.5" x14ac:dyDescent="0.25">
      <c r="A15" s="9"/>
      <c r="B15" s="9"/>
      <c r="C15" s="11"/>
      <c r="D15" s="9"/>
      <c r="E15" s="9"/>
      <c r="F15" s="9"/>
      <c r="G15" s="9"/>
    </row>
    <row r="16" spans="1:7" s="5" customFormat="1" ht="16.5" x14ac:dyDescent="0.25">
      <c r="A16" s="9"/>
      <c r="B16" s="9"/>
      <c r="C16" s="11"/>
      <c r="D16" s="9"/>
      <c r="E16" s="9"/>
      <c r="F16" s="9"/>
      <c r="G16" s="9"/>
    </row>
    <row r="17" spans="1:7" s="5" customFormat="1" ht="16.5" x14ac:dyDescent="0.25">
      <c r="A17" s="9"/>
      <c r="B17" s="9"/>
      <c r="C17" s="11"/>
      <c r="D17" s="9"/>
      <c r="E17" s="9"/>
      <c r="F17" s="9"/>
      <c r="G17" s="9"/>
    </row>
    <row r="18" spans="1:7" s="5" customFormat="1" ht="16.5" x14ac:dyDescent="0.25">
      <c r="A18" s="9"/>
      <c r="B18" s="9"/>
      <c r="C18" s="11"/>
      <c r="D18" s="9"/>
      <c r="E18" s="9"/>
      <c r="F18" s="9"/>
      <c r="G18" s="9"/>
    </row>
    <row r="19" spans="1:7" s="5" customFormat="1" ht="16.5" x14ac:dyDescent="0.25">
      <c r="A19" s="9"/>
      <c r="B19" s="9"/>
      <c r="C19" s="11"/>
      <c r="D19" s="9"/>
      <c r="E19" s="9"/>
      <c r="F19" s="9"/>
      <c r="G19" s="9"/>
    </row>
    <row r="20" spans="1:7" s="5" customFormat="1" ht="16.5" x14ac:dyDescent="0.25">
      <c r="A20" s="9"/>
      <c r="B20" s="9"/>
      <c r="C20" s="11"/>
      <c r="D20" s="9"/>
      <c r="E20" s="9"/>
      <c r="F20" s="9"/>
      <c r="G20" s="9"/>
    </row>
    <row r="21" spans="1:7" s="5" customFormat="1" ht="16.5" x14ac:dyDescent="0.25">
      <c r="A21" s="9"/>
      <c r="B21" s="9"/>
      <c r="C21" s="11"/>
      <c r="D21" s="9"/>
      <c r="E21" s="9"/>
      <c r="F21" s="9"/>
      <c r="G21" s="9"/>
    </row>
    <row r="22" spans="1:7" s="5" customFormat="1" ht="16.5" x14ac:dyDescent="0.25">
      <c r="A22" s="9"/>
      <c r="B22" s="9"/>
      <c r="C22" s="11"/>
      <c r="D22" s="9"/>
      <c r="E22" s="9"/>
      <c r="F22" s="9"/>
      <c r="G22" s="9"/>
    </row>
    <row r="23" spans="1:7" s="5" customFormat="1" ht="16.5" x14ac:dyDescent="0.25">
      <c r="C23" s="14"/>
    </row>
    <row r="24" spans="1:7" s="5" customFormat="1" ht="16.5" x14ac:dyDescent="0.25">
      <c r="C24" s="14"/>
    </row>
    <row r="32" spans="1:7" ht="26.25" customHeight="1" x14ac:dyDescent="0.25">
      <c r="A32" s="42" t="s">
        <v>13</v>
      </c>
      <c r="B32" s="42"/>
      <c r="C32" s="42"/>
      <c r="D32" s="42"/>
      <c r="E32" s="42"/>
    </row>
    <row r="33" spans="1:7" ht="28.5" customHeight="1" x14ac:dyDescent="0.25">
      <c r="A33" s="43" t="s">
        <v>7</v>
      </c>
      <c r="B33" s="43"/>
      <c r="C33" s="43"/>
      <c r="D33" s="43"/>
      <c r="E33" s="43"/>
      <c r="F33" s="43"/>
      <c r="G33" s="43"/>
    </row>
    <row r="34" spans="1:7" s="5" customFormat="1" ht="24" customHeight="1" x14ac:dyDescent="0.25">
      <c r="A34" s="44" t="s">
        <v>17</v>
      </c>
      <c r="B34" s="44"/>
      <c r="C34" s="44"/>
      <c r="D34" s="44"/>
      <c r="E34" s="44"/>
      <c r="F34" s="44"/>
      <c r="G34" s="44"/>
    </row>
    <row r="35" spans="1:7" s="5" customFormat="1" ht="24" customHeight="1" x14ac:dyDescent="0.25">
      <c r="A35" s="44" t="s">
        <v>28</v>
      </c>
      <c r="B35" s="44"/>
      <c r="C35" s="44"/>
      <c r="D35" s="44"/>
      <c r="E35" s="44"/>
      <c r="F35" s="44"/>
      <c r="G35" s="44"/>
    </row>
    <row r="36" spans="1:7" s="5" customFormat="1" ht="24" customHeight="1" x14ac:dyDescent="0.25">
      <c r="A36" s="44" t="s">
        <v>38</v>
      </c>
      <c r="B36" s="44"/>
      <c r="C36" s="44"/>
      <c r="D36" s="44"/>
      <c r="E36" s="44"/>
      <c r="F36" s="44"/>
      <c r="G36" s="44"/>
    </row>
    <row r="37" spans="1:7" s="5" customFormat="1" ht="18" customHeight="1" x14ac:dyDescent="0.25">
      <c r="A37" s="35"/>
      <c r="B37" s="35"/>
      <c r="C37" s="3"/>
      <c r="D37" s="35"/>
      <c r="E37" s="35"/>
      <c r="F37" s="35"/>
      <c r="G37" s="35"/>
    </row>
    <row r="38" spans="1:7" s="5" customFormat="1" ht="38.25" customHeight="1" x14ac:dyDescent="0.25">
      <c r="A38" s="37" t="s">
        <v>0</v>
      </c>
      <c r="B38" s="37" t="s">
        <v>1</v>
      </c>
      <c r="C38" s="7" t="s">
        <v>5</v>
      </c>
      <c r="D38" s="37" t="s">
        <v>2</v>
      </c>
      <c r="E38" s="37" t="s">
        <v>3</v>
      </c>
      <c r="F38" s="8" t="s">
        <v>4</v>
      </c>
      <c r="G38" s="8" t="s">
        <v>6</v>
      </c>
    </row>
    <row r="39" spans="1:7" s="5" customFormat="1" ht="26.25" customHeight="1" x14ac:dyDescent="0.25">
      <c r="A39" s="19">
        <v>1</v>
      </c>
      <c r="B39" s="32" t="s">
        <v>39</v>
      </c>
      <c r="C39" s="21">
        <v>1</v>
      </c>
      <c r="D39" s="19" t="s">
        <v>30</v>
      </c>
      <c r="E39" s="9"/>
      <c r="F39" s="9"/>
      <c r="G39" s="9"/>
    </row>
    <row r="40" spans="1:7" s="5" customFormat="1" ht="26.25" customHeight="1" x14ac:dyDescent="0.25">
      <c r="A40" s="19"/>
      <c r="B40" s="32"/>
      <c r="C40" s="21"/>
      <c r="D40" s="19"/>
      <c r="E40" s="9"/>
      <c r="F40" s="9"/>
      <c r="G40" s="9"/>
    </row>
    <row r="41" spans="1:7" s="5" customFormat="1" ht="26.25" customHeight="1" x14ac:dyDescent="0.25">
      <c r="A41" s="9"/>
      <c r="B41" s="10"/>
      <c r="C41" s="11"/>
      <c r="D41" s="9"/>
      <c r="E41" s="9"/>
      <c r="F41" s="9"/>
      <c r="G41" s="9"/>
    </row>
    <row r="42" spans="1:7" s="5" customFormat="1" ht="16.5" x14ac:dyDescent="0.25">
      <c r="A42" s="9"/>
      <c r="B42" s="10"/>
      <c r="C42" s="11"/>
      <c r="D42" s="9"/>
      <c r="E42" s="9"/>
      <c r="F42" s="9"/>
      <c r="G42" s="9"/>
    </row>
    <row r="43" spans="1:7" s="5" customFormat="1" ht="16.5" x14ac:dyDescent="0.25">
      <c r="A43" s="9"/>
      <c r="B43" s="10"/>
      <c r="C43" s="11"/>
      <c r="D43" s="9"/>
      <c r="E43" s="9"/>
      <c r="F43" s="9"/>
      <c r="G43" s="9"/>
    </row>
    <row r="44" spans="1:7" s="5" customFormat="1" ht="16.5" x14ac:dyDescent="0.25">
      <c r="A44" s="9"/>
      <c r="B44" s="12"/>
      <c r="C44" s="11"/>
      <c r="D44" s="9"/>
      <c r="E44" s="9"/>
      <c r="F44" s="9"/>
      <c r="G44" s="9"/>
    </row>
    <row r="45" spans="1:7" s="5" customFormat="1" ht="16.5" x14ac:dyDescent="0.25">
      <c r="A45" s="9"/>
      <c r="B45" s="9"/>
      <c r="C45" s="11"/>
      <c r="D45" s="9"/>
      <c r="E45" s="9"/>
      <c r="F45" s="9"/>
      <c r="G45" s="9"/>
    </row>
    <row r="46" spans="1:7" s="5" customFormat="1" ht="16.5" x14ac:dyDescent="0.25">
      <c r="A46" s="9"/>
      <c r="B46" s="9"/>
      <c r="C46" s="11"/>
      <c r="D46" s="9"/>
      <c r="E46" s="9"/>
      <c r="F46" s="9"/>
      <c r="G46" s="9"/>
    </row>
    <row r="47" spans="1:7" s="5" customFormat="1" ht="16.5" x14ac:dyDescent="0.25">
      <c r="A47" s="9"/>
      <c r="B47" s="9"/>
      <c r="C47" s="11"/>
      <c r="D47" s="9"/>
      <c r="E47" s="9"/>
      <c r="F47" s="9"/>
      <c r="G47" s="9"/>
    </row>
    <row r="48" spans="1:7" s="5" customFormat="1" ht="16.5" x14ac:dyDescent="0.25">
      <c r="A48" s="9"/>
      <c r="B48" s="9"/>
      <c r="C48" s="11"/>
      <c r="D48" s="9"/>
      <c r="E48" s="9"/>
      <c r="F48" s="9"/>
      <c r="G48" s="9"/>
    </row>
    <row r="49" spans="1:7" s="5" customFormat="1" ht="16.5" x14ac:dyDescent="0.25">
      <c r="A49" s="9"/>
      <c r="B49" s="9"/>
      <c r="C49" s="11"/>
      <c r="D49" s="9"/>
      <c r="E49" s="9"/>
      <c r="F49" s="9"/>
      <c r="G49" s="9"/>
    </row>
    <row r="50" spans="1:7" s="5" customFormat="1" ht="16.5" x14ac:dyDescent="0.25">
      <c r="A50" s="9"/>
      <c r="B50" s="9"/>
      <c r="C50" s="11"/>
      <c r="D50" s="9"/>
      <c r="E50" s="9"/>
      <c r="F50" s="9"/>
      <c r="G50" s="9"/>
    </row>
    <row r="51" spans="1:7" s="5" customFormat="1" ht="16.5" x14ac:dyDescent="0.25">
      <c r="A51" s="9"/>
      <c r="B51" s="9"/>
      <c r="C51" s="11"/>
      <c r="D51" s="9"/>
      <c r="E51" s="9"/>
      <c r="F51" s="9"/>
      <c r="G51" s="9"/>
    </row>
    <row r="52" spans="1:7" s="5" customFormat="1" ht="16.5" x14ac:dyDescent="0.25">
      <c r="A52" s="9"/>
      <c r="B52" s="9"/>
      <c r="C52" s="11"/>
      <c r="D52" s="9"/>
      <c r="E52" s="9"/>
      <c r="F52" s="9"/>
      <c r="G52" s="9"/>
    </row>
    <row r="53" spans="1:7" s="5" customFormat="1" ht="16.5" x14ac:dyDescent="0.25">
      <c r="A53" s="9"/>
      <c r="B53" s="9"/>
      <c r="C53" s="11"/>
      <c r="D53" s="9"/>
      <c r="E53" s="9"/>
      <c r="F53" s="9"/>
      <c r="G53" s="9"/>
    </row>
  </sheetData>
  <mergeCells count="10">
    <mergeCell ref="A2:G2"/>
    <mergeCell ref="A3:G3"/>
    <mergeCell ref="A4:G4"/>
    <mergeCell ref="A5:G5"/>
    <mergeCell ref="A1:E1"/>
    <mergeCell ref="A32:E32"/>
    <mergeCell ref="A33:G33"/>
    <mergeCell ref="A34:G34"/>
    <mergeCell ref="A35:G35"/>
    <mergeCell ref="A36:G36"/>
  </mergeCells>
  <pageMargins left="0.5" right="0.5" top="0.2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52"/>
  <sheetViews>
    <sheetView topLeftCell="A27" workbookViewId="0">
      <selection activeCell="I29" sqref="I29"/>
    </sheetView>
  </sheetViews>
  <sheetFormatPr defaultRowHeight="15" x14ac:dyDescent="0.25"/>
  <cols>
    <col min="1" max="1" width="9.28515625" style="1" customWidth="1"/>
    <col min="2" max="2" width="20.140625" style="1" customWidth="1"/>
    <col min="3" max="4" width="16.7109375" style="1" customWidth="1"/>
    <col min="5" max="5" width="29.28515625" style="1" customWidth="1"/>
    <col min="6" max="16384" width="9.140625" style="1"/>
  </cols>
  <sheetData>
    <row r="1" spans="1:5" ht="27.75" customHeight="1" x14ac:dyDescent="0.25">
      <c r="A1" s="42" t="s">
        <v>13</v>
      </c>
      <c r="B1" s="42"/>
      <c r="C1" s="42"/>
    </row>
    <row r="2" spans="1:5" ht="28.5" customHeight="1" x14ac:dyDescent="0.25">
      <c r="A2" s="43" t="s">
        <v>8</v>
      </c>
      <c r="B2" s="43"/>
      <c r="C2" s="43"/>
      <c r="D2" s="43"/>
      <c r="E2" s="43"/>
    </row>
    <row r="3" spans="1:5" s="5" customFormat="1" ht="24" customHeight="1" x14ac:dyDescent="0.25">
      <c r="A3" s="44" t="s">
        <v>17</v>
      </c>
      <c r="B3" s="44"/>
      <c r="C3" s="44"/>
      <c r="D3" s="44"/>
      <c r="E3" s="44"/>
    </row>
    <row r="4" spans="1:5" s="5" customFormat="1" ht="24" customHeight="1" x14ac:dyDescent="0.25">
      <c r="A4" s="44" t="s">
        <v>31</v>
      </c>
      <c r="B4" s="44"/>
      <c r="C4" s="44"/>
      <c r="D4" s="44"/>
      <c r="E4" s="44"/>
    </row>
    <row r="5" spans="1:5" s="5" customFormat="1" ht="24" customHeight="1" x14ac:dyDescent="0.25">
      <c r="A5" s="44" t="s">
        <v>26</v>
      </c>
      <c r="B5" s="44"/>
      <c r="C5" s="44"/>
      <c r="D5" s="44"/>
      <c r="E5" s="44"/>
    </row>
    <row r="6" spans="1:5" s="5" customFormat="1" ht="24" customHeight="1" x14ac:dyDescent="0.25">
      <c r="A6" s="30"/>
      <c r="B6" s="30"/>
      <c r="C6" s="30"/>
      <c r="D6" s="30"/>
      <c r="E6" s="30"/>
    </row>
    <row r="7" spans="1:5" s="5" customFormat="1" ht="38.25" customHeight="1" x14ac:dyDescent="0.25">
      <c r="A7" s="31" t="s">
        <v>0</v>
      </c>
      <c r="B7" s="31" t="s">
        <v>1</v>
      </c>
      <c r="C7" s="8" t="s">
        <v>5</v>
      </c>
      <c r="D7" s="31" t="s">
        <v>2</v>
      </c>
      <c r="E7" s="31" t="s">
        <v>9</v>
      </c>
    </row>
    <row r="8" spans="1:5" s="5" customFormat="1" ht="36" customHeight="1" x14ac:dyDescent="0.25">
      <c r="A8" s="19">
        <v>1</v>
      </c>
      <c r="B8" s="32">
        <v>46147</v>
      </c>
      <c r="C8" s="21">
        <v>0.5</v>
      </c>
      <c r="D8" s="19" t="s">
        <v>30</v>
      </c>
      <c r="E8" s="13"/>
    </row>
    <row r="9" spans="1:5" s="5" customFormat="1" ht="36" customHeight="1" x14ac:dyDescent="0.25">
      <c r="A9" s="19">
        <v>2</v>
      </c>
      <c r="B9" s="32">
        <v>46178</v>
      </c>
      <c r="C9" s="21">
        <v>0.5</v>
      </c>
      <c r="D9" s="19" t="s">
        <v>30</v>
      </c>
      <c r="E9" s="13"/>
    </row>
    <row r="10" spans="1:5" s="5" customFormat="1" ht="36" customHeight="1" x14ac:dyDescent="0.25">
      <c r="A10" s="19"/>
      <c r="B10" s="20"/>
      <c r="C10" s="21"/>
      <c r="D10" s="19"/>
      <c r="E10" s="13"/>
    </row>
    <row r="11" spans="1:5" s="5" customFormat="1" ht="36" customHeight="1" x14ac:dyDescent="0.25">
      <c r="A11" s="19"/>
      <c r="B11" s="20"/>
      <c r="C11" s="21"/>
      <c r="D11" s="19"/>
      <c r="E11" s="13"/>
    </row>
    <row r="12" spans="1:5" s="5" customFormat="1" ht="36" customHeight="1" x14ac:dyDescent="0.25">
      <c r="A12" s="19"/>
      <c r="B12" s="20"/>
      <c r="C12" s="21"/>
      <c r="D12" s="19"/>
      <c r="E12" s="13"/>
    </row>
    <row r="13" spans="1:5" s="5" customFormat="1" ht="36" customHeight="1" x14ac:dyDescent="0.25">
      <c r="A13" s="19"/>
      <c r="B13" s="20"/>
      <c r="C13" s="21"/>
      <c r="D13" s="19"/>
      <c r="E13" s="13"/>
    </row>
    <row r="14" spans="1:5" s="5" customFormat="1" ht="36" customHeight="1" x14ac:dyDescent="0.25">
      <c r="A14" s="19"/>
      <c r="B14" s="20"/>
      <c r="C14" s="21"/>
      <c r="D14" s="19"/>
      <c r="E14" s="13"/>
    </row>
    <row r="15" spans="1:5" s="5" customFormat="1" ht="36" customHeight="1" x14ac:dyDescent="0.25">
      <c r="A15" s="19"/>
      <c r="B15" s="20"/>
      <c r="C15" s="21"/>
      <c r="D15" s="19"/>
      <c r="E15" s="13"/>
    </row>
    <row r="16" spans="1:5" s="5" customFormat="1" ht="36" customHeight="1" x14ac:dyDescent="0.25">
      <c r="A16" s="13"/>
      <c r="B16" s="13"/>
      <c r="C16" s="13"/>
      <c r="D16" s="13"/>
      <c r="E16" s="13"/>
    </row>
    <row r="17" spans="4:5" s="5" customFormat="1" ht="16.5" x14ac:dyDescent="0.25"/>
    <row r="18" spans="4:5" s="5" customFormat="1" ht="16.5" x14ac:dyDescent="0.25">
      <c r="D18" s="45" t="s">
        <v>18</v>
      </c>
      <c r="E18" s="45"/>
    </row>
    <row r="35" spans="1:5" ht="27.75" customHeight="1" x14ac:dyDescent="0.25">
      <c r="A35" s="42" t="s">
        <v>13</v>
      </c>
      <c r="B35" s="42"/>
      <c r="C35" s="42"/>
    </row>
    <row r="36" spans="1:5" ht="28.5" customHeight="1" x14ac:dyDescent="0.25">
      <c r="A36" s="43" t="s">
        <v>8</v>
      </c>
      <c r="B36" s="43"/>
      <c r="C36" s="43"/>
      <c r="D36" s="43"/>
      <c r="E36" s="43"/>
    </row>
    <row r="37" spans="1:5" s="5" customFormat="1" ht="24" customHeight="1" x14ac:dyDescent="0.25">
      <c r="A37" s="44" t="s">
        <v>17</v>
      </c>
      <c r="B37" s="44"/>
      <c r="C37" s="44"/>
      <c r="D37" s="44"/>
      <c r="E37" s="44"/>
    </row>
    <row r="38" spans="1:5" s="5" customFormat="1" ht="24" customHeight="1" x14ac:dyDescent="0.25">
      <c r="A38" s="44" t="s">
        <v>31</v>
      </c>
      <c r="B38" s="44"/>
      <c r="C38" s="44"/>
      <c r="D38" s="44"/>
      <c r="E38" s="44"/>
    </row>
    <row r="39" spans="1:5" s="5" customFormat="1" ht="24" customHeight="1" x14ac:dyDescent="0.25">
      <c r="A39" s="44" t="s">
        <v>40</v>
      </c>
      <c r="B39" s="44"/>
      <c r="C39" s="44"/>
      <c r="D39" s="44"/>
      <c r="E39" s="44"/>
    </row>
    <row r="40" spans="1:5" s="5" customFormat="1" ht="24" customHeight="1" x14ac:dyDescent="0.25">
      <c r="A40" s="35"/>
      <c r="B40" s="35"/>
      <c r="C40" s="35"/>
      <c r="D40" s="35"/>
      <c r="E40" s="35"/>
    </row>
    <row r="41" spans="1:5" s="5" customFormat="1" ht="38.25" customHeight="1" x14ac:dyDescent="0.25">
      <c r="A41" s="37" t="s">
        <v>0</v>
      </c>
      <c r="B41" s="37" t="s">
        <v>1</v>
      </c>
      <c r="C41" s="8" t="s">
        <v>5</v>
      </c>
      <c r="D41" s="37" t="s">
        <v>2</v>
      </c>
      <c r="E41" s="37" t="s">
        <v>9</v>
      </c>
    </row>
    <row r="42" spans="1:5" s="5" customFormat="1" ht="36" customHeight="1" x14ac:dyDescent="0.25">
      <c r="A42" s="19">
        <v>1</v>
      </c>
      <c r="B42" s="32" t="s">
        <v>39</v>
      </c>
      <c r="C42" s="21">
        <v>1</v>
      </c>
      <c r="D42" s="19" t="s">
        <v>30</v>
      </c>
      <c r="E42" s="13"/>
    </row>
    <row r="43" spans="1:5" s="5" customFormat="1" ht="36" customHeight="1" x14ac:dyDescent="0.25">
      <c r="A43" s="19"/>
      <c r="B43" s="32"/>
      <c r="C43" s="21"/>
      <c r="D43" s="19"/>
      <c r="E43" s="13"/>
    </row>
    <row r="44" spans="1:5" s="5" customFormat="1" ht="36" customHeight="1" x14ac:dyDescent="0.25">
      <c r="A44" s="19"/>
      <c r="B44" s="20"/>
      <c r="C44" s="21"/>
      <c r="D44" s="19"/>
      <c r="E44" s="13"/>
    </row>
    <row r="45" spans="1:5" s="5" customFormat="1" ht="36" customHeight="1" x14ac:dyDescent="0.25">
      <c r="A45" s="19"/>
      <c r="B45" s="20"/>
      <c r="C45" s="21"/>
      <c r="D45" s="19"/>
      <c r="E45" s="13"/>
    </row>
    <row r="46" spans="1:5" s="5" customFormat="1" ht="36" customHeight="1" x14ac:dyDescent="0.25">
      <c r="A46" s="19"/>
      <c r="B46" s="20"/>
      <c r="C46" s="21"/>
      <c r="D46" s="19"/>
      <c r="E46" s="13"/>
    </row>
    <row r="47" spans="1:5" s="5" customFormat="1" ht="36" customHeight="1" x14ac:dyDescent="0.25">
      <c r="A47" s="19"/>
      <c r="B47" s="20"/>
      <c r="C47" s="21"/>
      <c r="D47" s="19"/>
      <c r="E47" s="13"/>
    </row>
    <row r="48" spans="1:5" s="5" customFormat="1" ht="36" customHeight="1" x14ac:dyDescent="0.25">
      <c r="A48" s="19"/>
      <c r="B48" s="20"/>
      <c r="C48" s="21"/>
      <c r="D48" s="19"/>
      <c r="E48" s="13"/>
    </row>
    <row r="49" spans="1:5" s="5" customFormat="1" ht="36" customHeight="1" x14ac:dyDescent="0.25">
      <c r="A49" s="19"/>
      <c r="B49" s="20"/>
      <c r="C49" s="21"/>
      <c r="D49" s="19"/>
      <c r="E49" s="13"/>
    </row>
    <row r="50" spans="1:5" s="5" customFormat="1" ht="36" customHeight="1" x14ac:dyDescent="0.25">
      <c r="A50" s="13"/>
      <c r="B50" s="13"/>
      <c r="C50" s="13"/>
      <c r="D50" s="13"/>
      <c r="E50" s="13"/>
    </row>
    <row r="51" spans="1:5" s="5" customFormat="1" ht="16.5" x14ac:dyDescent="0.25"/>
    <row r="52" spans="1:5" s="5" customFormat="1" ht="16.5" x14ac:dyDescent="0.25">
      <c r="D52" s="45" t="s">
        <v>18</v>
      </c>
      <c r="E52" s="45"/>
    </row>
  </sheetData>
  <mergeCells count="12">
    <mergeCell ref="D18:E18"/>
    <mergeCell ref="A1:C1"/>
    <mergeCell ref="A2:E2"/>
    <mergeCell ref="A3:E3"/>
    <mergeCell ref="A4:E4"/>
    <mergeCell ref="A5:E5"/>
    <mergeCell ref="D52:E52"/>
    <mergeCell ref="A35:C35"/>
    <mergeCell ref="A36:E36"/>
    <mergeCell ref="A37:E37"/>
    <mergeCell ref="A38:E38"/>
    <mergeCell ref="A39:E39"/>
  </mergeCells>
  <pageMargins left="0.5" right="0.5" top="0.25" bottom="0.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24"/>
  <sheetViews>
    <sheetView tabSelected="1" workbookViewId="0">
      <selection activeCell="K9" sqref="K9"/>
    </sheetView>
  </sheetViews>
  <sheetFormatPr defaultRowHeight="15" x14ac:dyDescent="0.25"/>
  <cols>
    <col min="1" max="1" width="9.28515625" style="1" customWidth="1"/>
    <col min="2" max="2" width="20.140625" style="1" customWidth="1"/>
    <col min="3" max="4" width="16.7109375" style="1" customWidth="1"/>
    <col min="5" max="5" width="29.28515625" style="1" customWidth="1"/>
    <col min="6" max="16384" width="9.140625" style="1"/>
  </cols>
  <sheetData>
    <row r="1" spans="1:5" ht="27.75" customHeight="1" x14ac:dyDescent="0.25">
      <c r="A1" s="42" t="s">
        <v>13</v>
      </c>
      <c r="B1" s="42"/>
      <c r="C1" s="42"/>
    </row>
    <row r="2" spans="1:5" ht="28.5" customHeight="1" x14ac:dyDescent="0.25">
      <c r="A2" s="43" t="s">
        <v>8</v>
      </c>
      <c r="B2" s="43"/>
      <c r="C2" s="43"/>
      <c r="D2" s="43"/>
      <c r="E2" s="43"/>
    </row>
    <row r="3" spans="1:5" s="5" customFormat="1" ht="24" customHeight="1" x14ac:dyDescent="0.25">
      <c r="A3" s="44" t="s">
        <v>47</v>
      </c>
      <c r="B3" s="44"/>
      <c r="C3" s="44"/>
      <c r="D3" s="44"/>
      <c r="E3" s="44"/>
    </row>
    <row r="4" spans="1:5" s="5" customFormat="1" ht="24" customHeight="1" x14ac:dyDescent="0.25">
      <c r="A4" s="44" t="s">
        <v>31</v>
      </c>
      <c r="B4" s="44"/>
      <c r="C4" s="44"/>
      <c r="D4" s="44"/>
      <c r="E4" s="44"/>
    </row>
    <row r="5" spans="1:5" s="5" customFormat="1" ht="24" customHeight="1" x14ac:dyDescent="0.25">
      <c r="A5" s="44" t="s">
        <v>40</v>
      </c>
      <c r="B5" s="44"/>
      <c r="C5" s="44"/>
      <c r="D5" s="44"/>
      <c r="E5" s="44"/>
    </row>
    <row r="6" spans="1:5" s="5" customFormat="1" ht="24" customHeight="1" x14ac:dyDescent="0.25">
      <c r="A6" s="40"/>
      <c r="B6" s="40"/>
      <c r="C6" s="40"/>
      <c r="D6" s="40"/>
      <c r="E6" s="40"/>
    </row>
    <row r="7" spans="1:5" s="5" customFormat="1" ht="35.25" customHeight="1" x14ac:dyDescent="0.25">
      <c r="A7" s="41" t="s">
        <v>0</v>
      </c>
      <c r="B7" s="41" t="s">
        <v>1</v>
      </c>
      <c r="C7" s="8" t="s">
        <v>5</v>
      </c>
      <c r="D7" s="41" t="s">
        <v>2</v>
      </c>
      <c r="E7" s="41" t="s">
        <v>9</v>
      </c>
    </row>
    <row r="8" spans="1:5" s="5" customFormat="1" ht="30" customHeight="1" x14ac:dyDescent="0.25">
      <c r="A8" s="19">
        <v>1</v>
      </c>
      <c r="B8" s="20" t="s">
        <v>43</v>
      </c>
      <c r="C8" s="21">
        <v>0.5</v>
      </c>
      <c r="D8" s="19" t="s">
        <v>30</v>
      </c>
      <c r="E8" s="29">
        <v>3300000</v>
      </c>
    </row>
    <row r="9" spans="1:5" s="5" customFormat="1" ht="30" customHeight="1" x14ac:dyDescent="0.25">
      <c r="A9" s="19">
        <v>2</v>
      </c>
      <c r="B9" s="20" t="s">
        <v>44</v>
      </c>
      <c r="C9" s="21">
        <v>0.5</v>
      </c>
      <c r="D9" s="19" t="s">
        <v>30</v>
      </c>
      <c r="E9" s="29">
        <v>2600000</v>
      </c>
    </row>
    <row r="10" spans="1:5" s="5" customFormat="1" ht="30" customHeight="1" x14ac:dyDescent="0.25">
      <c r="A10" s="19">
        <v>3</v>
      </c>
      <c r="B10" s="20" t="s">
        <v>45</v>
      </c>
      <c r="C10" s="21">
        <v>2</v>
      </c>
      <c r="D10" s="19" t="s">
        <v>30</v>
      </c>
      <c r="E10" s="29">
        <v>3000000</v>
      </c>
    </row>
    <row r="11" spans="1:5" s="5" customFormat="1" ht="30" customHeight="1" x14ac:dyDescent="0.25">
      <c r="A11" s="19"/>
      <c r="B11" s="20"/>
      <c r="C11" s="21"/>
      <c r="D11" s="19"/>
      <c r="E11" s="29"/>
    </row>
    <row r="12" spans="1:5" s="5" customFormat="1" ht="30" customHeight="1" x14ac:dyDescent="0.25">
      <c r="A12" s="19"/>
      <c r="B12" s="20"/>
      <c r="C12" s="21"/>
      <c r="D12" s="19"/>
      <c r="E12" s="29"/>
    </row>
    <row r="13" spans="1:5" s="5" customFormat="1" ht="30" customHeight="1" x14ac:dyDescent="0.25">
      <c r="A13" s="19"/>
      <c r="B13" s="20"/>
      <c r="C13" s="21"/>
      <c r="D13" s="19"/>
      <c r="E13" s="29"/>
    </row>
    <row r="14" spans="1:5" s="5" customFormat="1" ht="30" customHeight="1" x14ac:dyDescent="0.25">
      <c r="A14" s="19"/>
      <c r="B14" s="20"/>
      <c r="C14" s="21"/>
      <c r="D14" s="19"/>
      <c r="E14" s="13"/>
    </row>
    <row r="15" spans="1:5" s="5" customFormat="1" ht="30" customHeight="1" x14ac:dyDescent="0.25">
      <c r="A15" s="19"/>
      <c r="B15" s="20"/>
      <c r="C15" s="21"/>
      <c r="D15" s="19"/>
      <c r="E15" s="13"/>
    </row>
    <row r="16" spans="1:5" s="5" customFormat="1" ht="30" customHeight="1" x14ac:dyDescent="0.25">
      <c r="A16" s="19"/>
      <c r="B16" s="20"/>
      <c r="C16" s="21"/>
      <c r="D16" s="19"/>
      <c r="E16" s="13"/>
    </row>
    <row r="17" spans="1:5" s="5" customFormat="1" ht="30" customHeight="1" x14ac:dyDescent="0.25">
      <c r="A17" s="19"/>
      <c r="B17" s="20"/>
      <c r="C17" s="21"/>
      <c r="D17" s="19"/>
      <c r="E17" s="13"/>
    </row>
    <row r="18" spans="1:5" s="5" customFormat="1" ht="30" customHeight="1" x14ac:dyDescent="0.25">
      <c r="A18" s="19"/>
      <c r="B18" s="20"/>
      <c r="C18" s="21"/>
      <c r="D18" s="19"/>
      <c r="E18" s="13"/>
    </row>
    <row r="19" spans="1:5" s="5" customFormat="1" ht="30" customHeight="1" x14ac:dyDescent="0.25">
      <c r="A19" s="19"/>
      <c r="B19" s="20"/>
      <c r="C19" s="21"/>
      <c r="D19" s="19"/>
      <c r="E19" s="13"/>
    </row>
    <row r="20" spans="1:5" s="5" customFormat="1" ht="30" customHeight="1" x14ac:dyDescent="0.25">
      <c r="A20" s="19"/>
      <c r="B20" s="20"/>
      <c r="C20" s="21"/>
      <c r="D20" s="19"/>
      <c r="E20" s="13"/>
    </row>
    <row r="21" spans="1:5" s="5" customFormat="1" ht="30" customHeight="1" x14ac:dyDescent="0.25">
      <c r="A21" s="19"/>
      <c r="B21" s="20"/>
      <c r="C21" s="21"/>
      <c r="D21" s="19"/>
      <c r="E21" s="13"/>
    </row>
    <row r="22" spans="1:5" s="5" customFormat="1" ht="30" customHeight="1" x14ac:dyDescent="0.25">
      <c r="A22" s="13"/>
      <c r="B22" s="13"/>
      <c r="C22" s="13"/>
      <c r="D22" s="13"/>
      <c r="E22" s="13"/>
    </row>
    <row r="23" spans="1:5" s="5" customFormat="1" ht="16.5" x14ac:dyDescent="0.25"/>
    <row r="24" spans="1:5" s="5" customFormat="1" ht="16.5" x14ac:dyDescent="0.25">
      <c r="D24" s="45" t="s">
        <v>18</v>
      </c>
      <c r="E24" s="45"/>
    </row>
  </sheetData>
  <mergeCells count="6">
    <mergeCell ref="D24:E24"/>
    <mergeCell ref="A1:C1"/>
    <mergeCell ref="A2:E2"/>
    <mergeCell ref="A3:E3"/>
    <mergeCell ref="A4:E4"/>
    <mergeCell ref="A5:E5"/>
  </mergeCells>
  <pageMargins left="0.5" right="0.5" top="0.25" bottom="0.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62"/>
  <sheetViews>
    <sheetView topLeftCell="A45" workbookViewId="0">
      <selection activeCell="A50" sqref="A50:E52"/>
    </sheetView>
  </sheetViews>
  <sheetFormatPr defaultRowHeight="15" x14ac:dyDescent="0.25"/>
  <cols>
    <col min="1" max="1" width="7.7109375" style="1" customWidth="1"/>
    <col min="2" max="2" width="20.140625" style="1" customWidth="1"/>
    <col min="3" max="3" width="11" style="1" customWidth="1"/>
    <col min="4" max="4" width="10.28515625" style="1" customWidth="1"/>
    <col min="5" max="5" width="19.85546875" style="17" customWidth="1"/>
    <col min="6" max="6" width="24.140625" style="17" customWidth="1"/>
    <col min="7" max="16384" width="9.140625" style="1"/>
  </cols>
  <sheetData>
    <row r="1" spans="1:6" s="5" customFormat="1" ht="27" customHeight="1" x14ac:dyDescent="0.25">
      <c r="A1" s="42" t="s">
        <v>13</v>
      </c>
      <c r="B1" s="42"/>
      <c r="C1" s="42"/>
      <c r="D1" s="42"/>
      <c r="E1" s="15"/>
      <c r="F1" s="15"/>
    </row>
    <row r="3" spans="1:6" ht="28.5" customHeight="1" x14ac:dyDescent="0.25">
      <c r="A3" s="43" t="s">
        <v>10</v>
      </c>
      <c r="B3" s="43"/>
      <c r="C3" s="43"/>
      <c r="D3" s="43"/>
      <c r="E3" s="43"/>
      <c r="F3" s="43"/>
    </row>
    <row r="4" spans="1:6" s="5" customFormat="1" ht="24" customHeight="1" x14ac:dyDescent="0.25">
      <c r="A4" s="44" t="s">
        <v>33</v>
      </c>
      <c r="B4" s="44"/>
      <c r="C4" s="44"/>
      <c r="D4" s="44"/>
      <c r="E4" s="44"/>
      <c r="F4" s="44"/>
    </row>
    <row r="5" spans="1:6" s="5" customFormat="1" ht="24" customHeight="1" x14ac:dyDescent="0.25">
      <c r="A5" s="44" t="s">
        <v>31</v>
      </c>
      <c r="B5" s="44"/>
      <c r="C5" s="44"/>
      <c r="D5" s="44"/>
      <c r="E5" s="44"/>
      <c r="F5" s="44"/>
    </row>
    <row r="6" spans="1:6" s="5" customFormat="1" ht="24" customHeight="1" x14ac:dyDescent="0.25">
      <c r="A6" s="42" t="s">
        <v>14</v>
      </c>
      <c r="B6" s="42"/>
      <c r="C6" s="42"/>
      <c r="D6" s="42"/>
      <c r="E6" s="42"/>
      <c r="F6" s="42"/>
    </row>
    <row r="7" spans="1:6" s="5" customFormat="1" ht="22.5" customHeight="1" x14ac:dyDescent="0.25">
      <c r="A7" s="54" t="s">
        <v>15</v>
      </c>
      <c r="B7" s="54"/>
      <c r="C7" s="54"/>
      <c r="D7" s="54"/>
      <c r="E7" s="54"/>
      <c r="F7" s="54"/>
    </row>
    <row r="8" spans="1:6" s="5" customFormat="1" ht="24" customHeight="1" x14ac:dyDescent="0.25">
      <c r="A8" s="44" t="s">
        <v>16</v>
      </c>
      <c r="B8" s="44"/>
      <c r="C8" s="44"/>
      <c r="D8" s="44"/>
      <c r="E8" s="44"/>
      <c r="F8" s="44"/>
    </row>
    <row r="9" spans="1:6" s="5" customFormat="1" ht="24" customHeight="1" x14ac:dyDescent="0.25">
      <c r="A9" s="54" t="s">
        <v>35</v>
      </c>
      <c r="B9" s="54"/>
      <c r="C9" s="54"/>
      <c r="D9" s="54"/>
      <c r="E9" s="54"/>
      <c r="F9" s="54"/>
    </row>
    <row r="10" spans="1:6" s="5" customFormat="1" ht="24" customHeight="1" x14ac:dyDescent="0.25">
      <c r="A10" s="44" t="s">
        <v>24</v>
      </c>
      <c r="B10" s="44"/>
      <c r="C10" s="44"/>
      <c r="D10" s="44"/>
      <c r="E10" s="44"/>
      <c r="F10" s="44"/>
    </row>
    <row r="11" spans="1:6" s="5" customFormat="1" ht="24" customHeight="1" x14ac:dyDescent="0.25">
      <c r="A11" s="44" t="s">
        <v>32</v>
      </c>
      <c r="B11" s="44"/>
      <c r="C11" s="44"/>
      <c r="D11" s="44"/>
      <c r="E11" s="44"/>
      <c r="F11" s="44"/>
    </row>
    <row r="12" spans="1:6" s="5" customFormat="1" ht="17.25" customHeight="1" x14ac:dyDescent="0.25">
      <c r="A12" s="47"/>
      <c r="B12" s="47"/>
      <c r="C12" s="47"/>
      <c r="D12" s="47"/>
      <c r="E12" s="47"/>
      <c r="F12" s="47"/>
    </row>
    <row r="13" spans="1:6" s="5" customFormat="1" ht="38.25" customHeight="1" x14ac:dyDescent="0.25">
      <c r="A13" s="31" t="s">
        <v>0</v>
      </c>
      <c r="B13" s="31" t="s">
        <v>1</v>
      </c>
      <c r="C13" s="8" t="s">
        <v>5</v>
      </c>
      <c r="D13" s="31" t="s">
        <v>2</v>
      </c>
      <c r="E13" s="16" t="s">
        <v>11</v>
      </c>
      <c r="F13" s="18" t="s">
        <v>12</v>
      </c>
    </row>
    <row r="14" spans="1:6" s="5" customFormat="1" ht="38.25" customHeight="1" x14ac:dyDescent="0.25">
      <c r="A14" s="23" t="s">
        <v>19</v>
      </c>
      <c r="B14" s="23"/>
      <c r="C14" s="48" t="s">
        <v>34</v>
      </c>
      <c r="D14" s="49"/>
      <c r="E14" s="50"/>
      <c r="F14" s="24">
        <f>19010188+44750000</f>
        <v>63760188</v>
      </c>
    </row>
    <row r="15" spans="1:6" s="5" customFormat="1" ht="39.75" customHeight="1" x14ac:dyDescent="0.25">
      <c r="A15" s="19">
        <v>1</v>
      </c>
      <c r="B15" s="32">
        <v>46147</v>
      </c>
      <c r="C15" s="21">
        <v>0.5</v>
      </c>
      <c r="D15" s="19" t="s">
        <v>30</v>
      </c>
      <c r="E15" s="29">
        <v>2600000</v>
      </c>
      <c r="F15" s="29">
        <f>C15*E15</f>
        <v>1300000</v>
      </c>
    </row>
    <row r="16" spans="1:6" s="5" customFormat="1" ht="39.75" customHeight="1" x14ac:dyDescent="0.25">
      <c r="A16" s="19">
        <v>2</v>
      </c>
      <c r="B16" s="32">
        <v>46178</v>
      </c>
      <c r="C16" s="21">
        <v>0.5</v>
      </c>
      <c r="D16" s="19" t="s">
        <v>30</v>
      </c>
      <c r="E16" s="29">
        <v>2600000</v>
      </c>
      <c r="F16" s="29">
        <f t="shared" ref="F16" si="0">C16*E16</f>
        <v>1300000</v>
      </c>
    </row>
    <row r="17" spans="1:6" s="5" customFormat="1" ht="39.75" customHeight="1" x14ac:dyDescent="0.25">
      <c r="A17" s="19"/>
      <c r="B17" s="20"/>
      <c r="C17" s="21"/>
      <c r="D17" s="19"/>
      <c r="E17" s="29"/>
      <c r="F17" s="29"/>
    </row>
    <row r="18" spans="1:6" s="5" customFormat="1" ht="39.75" customHeight="1" x14ac:dyDescent="0.25">
      <c r="A18" s="34" t="s">
        <v>21</v>
      </c>
      <c r="B18" s="33" t="s">
        <v>20</v>
      </c>
      <c r="C18" s="33">
        <f>SUM(C15:C17)</f>
        <v>1</v>
      </c>
      <c r="D18" s="51"/>
      <c r="E18" s="51"/>
      <c r="F18" s="22">
        <f>SUM(F15:F17)</f>
        <v>2600000</v>
      </c>
    </row>
    <row r="19" spans="1:6" s="5" customFormat="1" ht="40.5" customHeight="1" x14ac:dyDescent="0.25">
      <c r="A19" s="34" t="s">
        <v>22</v>
      </c>
      <c r="B19" s="34" t="s">
        <v>23</v>
      </c>
      <c r="C19" s="28"/>
      <c r="D19" s="52"/>
      <c r="E19" s="52"/>
      <c r="F19" s="22">
        <f>F14+F18</f>
        <v>66360188</v>
      </c>
    </row>
    <row r="20" spans="1:6" s="5" customFormat="1" ht="12.75" customHeight="1" x14ac:dyDescent="0.25">
      <c r="A20" s="25"/>
      <c r="B20" s="26"/>
      <c r="C20" s="26"/>
      <c r="D20" s="26"/>
      <c r="E20" s="26"/>
      <c r="F20" s="27"/>
    </row>
    <row r="21" spans="1:6" s="5" customFormat="1" ht="16.5" x14ac:dyDescent="0.25">
      <c r="A21" s="53" t="s">
        <v>36</v>
      </c>
      <c r="B21" s="53"/>
      <c r="C21" s="53"/>
      <c r="D21" s="53"/>
      <c r="E21" s="53"/>
      <c r="F21" s="53"/>
    </row>
    <row r="22" spans="1:6" s="5" customFormat="1" ht="37.5" customHeight="1" x14ac:dyDescent="0.25">
      <c r="A22" s="53"/>
      <c r="B22" s="53"/>
      <c r="C22" s="53"/>
      <c r="D22" s="53"/>
      <c r="E22" s="53"/>
      <c r="F22" s="53"/>
    </row>
    <row r="23" spans="1:6" s="5" customFormat="1" ht="16.5" x14ac:dyDescent="0.25">
      <c r="E23" s="15"/>
      <c r="F23" s="15"/>
    </row>
    <row r="24" spans="1:6" s="5" customFormat="1" ht="16.5" x14ac:dyDescent="0.25">
      <c r="E24" s="46" t="s">
        <v>25</v>
      </c>
      <c r="F24" s="46"/>
    </row>
    <row r="25" spans="1:6" s="5" customFormat="1" ht="16.5" x14ac:dyDescent="0.25">
      <c r="E25" s="15"/>
      <c r="F25" s="15"/>
    </row>
    <row r="26" spans="1:6" s="5" customFormat="1" ht="22.5" customHeight="1" x14ac:dyDescent="0.25">
      <c r="A26" s="42" t="s">
        <v>27</v>
      </c>
      <c r="B26" s="42"/>
      <c r="C26" s="42"/>
      <c r="D26" s="42"/>
      <c r="E26" s="42"/>
      <c r="F26" s="42"/>
    </row>
    <row r="34" spans="1:6" s="5" customFormat="1" ht="27" customHeight="1" x14ac:dyDescent="0.25">
      <c r="A34" s="42" t="s">
        <v>13</v>
      </c>
      <c r="B34" s="42"/>
      <c r="C34" s="42"/>
      <c r="D34" s="42"/>
      <c r="E34" s="15"/>
      <c r="F34" s="15"/>
    </row>
    <row r="36" spans="1:6" ht="28.5" customHeight="1" x14ac:dyDescent="0.25">
      <c r="A36" s="43" t="s">
        <v>10</v>
      </c>
      <c r="B36" s="43"/>
      <c r="C36" s="43"/>
      <c r="D36" s="43"/>
      <c r="E36" s="43"/>
      <c r="F36" s="43"/>
    </row>
    <row r="37" spans="1:6" s="5" customFormat="1" ht="24" customHeight="1" x14ac:dyDescent="0.25">
      <c r="A37" s="44" t="s">
        <v>33</v>
      </c>
      <c r="B37" s="44"/>
      <c r="C37" s="44"/>
      <c r="D37" s="44"/>
      <c r="E37" s="44"/>
      <c r="F37" s="44"/>
    </row>
    <row r="38" spans="1:6" s="5" customFormat="1" ht="24" customHeight="1" x14ac:dyDescent="0.25">
      <c r="A38" s="44" t="s">
        <v>31</v>
      </c>
      <c r="B38" s="44"/>
      <c r="C38" s="44"/>
      <c r="D38" s="44"/>
      <c r="E38" s="44"/>
      <c r="F38" s="44"/>
    </row>
    <row r="39" spans="1:6" s="5" customFormat="1" ht="24" customHeight="1" x14ac:dyDescent="0.25">
      <c r="A39" s="42" t="s">
        <v>14</v>
      </c>
      <c r="B39" s="42"/>
      <c r="C39" s="42"/>
      <c r="D39" s="42"/>
      <c r="E39" s="42"/>
      <c r="F39" s="42"/>
    </row>
    <row r="40" spans="1:6" s="5" customFormat="1" ht="22.5" customHeight="1" x14ac:dyDescent="0.25">
      <c r="A40" s="54" t="s">
        <v>15</v>
      </c>
      <c r="B40" s="54"/>
      <c r="C40" s="54"/>
      <c r="D40" s="54"/>
      <c r="E40" s="54"/>
      <c r="F40" s="54"/>
    </row>
    <row r="41" spans="1:6" s="5" customFormat="1" ht="24" customHeight="1" x14ac:dyDescent="0.25">
      <c r="A41" s="44" t="s">
        <v>16</v>
      </c>
      <c r="B41" s="44"/>
      <c r="C41" s="44"/>
      <c r="D41" s="44"/>
      <c r="E41" s="44"/>
      <c r="F41" s="44"/>
    </row>
    <row r="42" spans="1:6" s="5" customFormat="1" ht="24" customHeight="1" x14ac:dyDescent="0.25">
      <c r="A42" s="54" t="s">
        <v>35</v>
      </c>
      <c r="B42" s="54"/>
      <c r="C42" s="54"/>
      <c r="D42" s="54"/>
      <c r="E42" s="54"/>
      <c r="F42" s="54"/>
    </row>
    <row r="43" spans="1:6" s="5" customFormat="1" ht="24" customHeight="1" x14ac:dyDescent="0.25">
      <c r="A43" s="44" t="s">
        <v>24</v>
      </c>
      <c r="B43" s="44"/>
      <c r="C43" s="44"/>
      <c r="D43" s="44"/>
      <c r="E43" s="44"/>
      <c r="F43" s="44"/>
    </row>
    <row r="44" spans="1:6" s="5" customFormat="1" ht="24" customHeight="1" x14ac:dyDescent="0.25">
      <c r="A44" s="44" t="s">
        <v>41</v>
      </c>
      <c r="B44" s="44"/>
      <c r="C44" s="44"/>
      <c r="D44" s="44"/>
      <c r="E44" s="44"/>
      <c r="F44" s="44"/>
    </row>
    <row r="45" spans="1:6" s="5" customFormat="1" ht="17.25" customHeight="1" x14ac:dyDescent="0.25">
      <c r="A45" s="47"/>
      <c r="B45" s="47"/>
      <c r="C45" s="47"/>
      <c r="D45" s="47"/>
      <c r="E45" s="47"/>
      <c r="F45" s="47"/>
    </row>
    <row r="46" spans="1:6" s="5" customFormat="1" ht="38.25" customHeight="1" x14ac:dyDescent="0.25">
      <c r="A46" s="37" t="s">
        <v>0</v>
      </c>
      <c r="B46" s="37" t="s">
        <v>1</v>
      </c>
      <c r="C46" s="8" t="s">
        <v>5</v>
      </c>
      <c r="D46" s="37" t="s">
        <v>2</v>
      </c>
      <c r="E46" s="16" t="s">
        <v>11</v>
      </c>
      <c r="F46" s="18" t="s">
        <v>12</v>
      </c>
    </row>
    <row r="47" spans="1:6" s="5" customFormat="1" ht="38.25" customHeight="1" x14ac:dyDescent="0.25">
      <c r="A47" s="23" t="s">
        <v>19</v>
      </c>
      <c r="B47" s="23"/>
      <c r="C47" s="48" t="s">
        <v>37</v>
      </c>
      <c r="D47" s="49"/>
      <c r="E47" s="50"/>
      <c r="F47" s="24">
        <v>66360188</v>
      </c>
    </row>
    <row r="48" spans="1:6" s="5" customFormat="1" ht="39.75" customHeight="1" x14ac:dyDescent="0.25">
      <c r="A48" s="19">
        <v>1</v>
      </c>
      <c r="B48" s="32" t="s">
        <v>39</v>
      </c>
      <c r="C48" s="21">
        <v>1</v>
      </c>
      <c r="D48" s="19" t="s">
        <v>30</v>
      </c>
      <c r="E48" s="29">
        <v>2600000</v>
      </c>
      <c r="F48" s="29">
        <f>C48*E48</f>
        <v>2600000</v>
      </c>
    </row>
    <row r="49" spans="1:6" s="5" customFormat="1" ht="39.75" customHeight="1" x14ac:dyDescent="0.25">
      <c r="A49" s="19"/>
      <c r="B49" s="38" t="s">
        <v>42</v>
      </c>
      <c r="C49" s="36"/>
      <c r="D49" s="37"/>
      <c r="E49" s="22"/>
      <c r="F49" s="22">
        <f>F48</f>
        <v>2600000</v>
      </c>
    </row>
    <row r="50" spans="1:6" s="5" customFormat="1" ht="39.75" customHeight="1" x14ac:dyDescent="0.25">
      <c r="A50" s="19">
        <v>1</v>
      </c>
      <c r="B50" s="20" t="s">
        <v>43</v>
      </c>
      <c r="C50" s="21">
        <v>0.5</v>
      </c>
      <c r="D50" s="19" t="s">
        <v>30</v>
      </c>
      <c r="E50" s="29">
        <v>3300000</v>
      </c>
      <c r="F50" s="29">
        <f>E50*C50</f>
        <v>1650000</v>
      </c>
    </row>
    <row r="51" spans="1:6" s="5" customFormat="1" ht="39.75" customHeight="1" x14ac:dyDescent="0.25">
      <c r="A51" s="19">
        <v>2</v>
      </c>
      <c r="B51" s="20" t="s">
        <v>44</v>
      </c>
      <c r="C51" s="21">
        <v>0.5</v>
      </c>
      <c r="D51" s="19" t="s">
        <v>30</v>
      </c>
      <c r="E51" s="29">
        <v>2600000</v>
      </c>
      <c r="F51" s="29">
        <f>C51*E51</f>
        <v>1300000</v>
      </c>
    </row>
    <row r="52" spans="1:6" s="5" customFormat="1" ht="39.75" customHeight="1" x14ac:dyDescent="0.25">
      <c r="A52" s="19">
        <v>3</v>
      </c>
      <c r="B52" s="20" t="s">
        <v>45</v>
      </c>
      <c r="C52" s="21">
        <v>2</v>
      </c>
      <c r="D52" s="19" t="s">
        <v>30</v>
      </c>
      <c r="E52" s="29">
        <v>3000000</v>
      </c>
      <c r="F52" s="29">
        <f>C52*E52</f>
        <v>6000000</v>
      </c>
    </row>
    <row r="53" spans="1:6" s="5" customFormat="1" ht="39.75" customHeight="1" x14ac:dyDescent="0.25">
      <c r="A53" s="19"/>
      <c r="B53" s="39" t="s">
        <v>46</v>
      </c>
      <c r="C53" s="36"/>
      <c r="D53" s="37"/>
      <c r="E53" s="22"/>
      <c r="F53" s="22">
        <f>SUM(F50:F52)</f>
        <v>8950000</v>
      </c>
    </row>
    <row r="54" spans="1:6" s="5" customFormat="1" ht="39.75" customHeight="1" x14ac:dyDescent="0.25">
      <c r="A54" s="37" t="s">
        <v>21</v>
      </c>
      <c r="B54" s="36" t="s">
        <v>20</v>
      </c>
      <c r="C54" s="36"/>
      <c r="D54" s="51"/>
      <c r="E54" s="51"/>
      <c r="F54" s="22">
        <f>F49+F53</f>
        <v>11550000</v>
      </c>
    </row>
    <row r="55" spans="1:6" s="5" customFormat="1" ht="40.5" customHeight="1" x14ac:dyDescent="0.25">
      <c r="A55" s="37" t="s">
        <v>22</v>
      </c>
      <c r="B55" s="37" t="s">
        <v>23</v>
      </c>
      <c r="C55" s="28"/>
      <c r="D55" s="52"/>
      <c r="E55" s="52"/>
      <c r="F55" s="22">
        <f>F47+F54</f>
        <v>77910188</v>
      </c>
    </row>
    <row r="56" spans="1:6" s="5" customFormat="1" ht="12.75" customHeight="1" x14ac:dyDescent="0.25">
      <c r="A56" s="25"/>
      <c r="B56" s="26"/>
      <c r="C56" s="26"/>
      <c r="D56" s="26"/>
      <c r="E56" s="26"/>
      <c r="F56" s="27"/>
    </row>
    <row r="57" spans="1:6" s="5" customFormat="1" ht="16.5" x14ac:dyDescent="0.25">
      <c r="A57" s="53" t="s">
        <v>36</v>
      </c>
      <c r="B57" s="53"/>
      <c r="C57" s="53"/>
      <c r="D57" s="53"/>
      <c r="E57" s="53"/>
      <c r="F57" s="53"/>
    </row>
    <row r="58" spans="1:6" s="5" customFormat="1" ht="37.5" customHeight="1" x14ac:dyDescent="0.25">
      <c r="A58" s="53"/>
      <c r="B58" s="53"/>
      <c r="C58" s="53"/>
      <c r="D58" s="53"/>
      <c r="E58" s="53"/>
      <c r="F58" s="53"/>
    </row>
    <row r="59" spans="1:6" s="5" customFormat="1" ht="16.5" x14ac:dyDescent="0.25">
      <c r="E59" s="15"/>
      <c r="F59" s="15"/>
    </row>
    <row r="60" spans="1:6" s="5" customFormat="1" ht="16.5" x14ac:dyDescent="0.25">
      <c r="E60" s="46" t="s">
        <v>25</v>
      </c>
      <c r="F60" s="46"/>
    </row>
    <row r="61" spans="1:6" s="5" customFormat="1" ht="16.5" x14ac:dyDescent="0.25">
      <c r="E61" s="15"/>
      <c r="F61" s="15"/>
    </row>
    <row r="62" spans="1:6" s="5" customFormat="1" ht="22.5" customHeight="1" x14ac:dyDescent="0.25">
      <c r="A62" s="42" t="s">
        <v>27</v>
      </c>
      <c r="B62" s="42"/>
      <c r="C62" s="42"/>
      <c r="D62" s="42"/>
      <c r="E62" s="42"/>
      <c r="F62" s="42"/>
    </row>
  </sheetData>
  <mergeCells count="34">
    <mergeCell ref="A1:D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E24:F24"/>
    <mergeCell ref="A26:F26"/>
    <mergeCell ref="A12:F12"/>
    <mergeCell ref="C14:E14"/>
    <mergeCell ref="D18:E18"/>
    <mergeCell ref="D19:E19"/>
    <mergeCell ref="A21:F22"/>
    <mergeCell ref="A34:D34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E60:F60"/>
    <mergeCell ref="A62:F62"/>
    <mergeCell ref="A45:F45"/>
    <mergeCell ref="C47:E47"/>
    <mergeCell ref="D54:E54"/>
    <mergeCell ref="D55:E55"/>
    <mergeCell ref="A57:F58"/>
  </mergeCells>
  <pageMargins left="0.5" right="0.5" top="0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Vật tư ngày</vt:lpstr>
      <vt:lpstr>Vật tư tháng Trại Chuối</vt:lpstr>
      <vt:lpstr>VT tháng Dải cây xanh</vt:lpstr>
      <vt:lpstr>Đối chiếu công nợ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2026-07-09T07:12:44Z</dcterms:modified>
</cp:coreProperties>
</file>