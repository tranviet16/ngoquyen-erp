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3"/>
  </bookViews>
  <sheets>
    <sheet name="SGV" sheetId="4" state="veryHidden" r:id="rId1"/>
    <sheet name="Vật tư ngày" sheetId="1" r:id="rId2"/>
    <sheet name="Vật tư tháng" sheetId="2" r:id="rId3"/>
    <sheet name="Đối chiếu công nợ Hết 26.5.26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8" i="3" l="1"/>
  <c r="D176" i="3" l="1"/>
  <c r="G168" i="3"/>
  <c r="G167" i="3"/>
  <c r="G166" i="3"/>
  <c r="G165" i="3"/>
  <c r="G164" i="3"/>
  <c r="G163" i="3"/>
  <c r="G162" i="3"/>
  <c r="G161" i="3"/>
  <c r="G160" i="3"/>
  <c r="G159" i="3"/>
  <c r="G176" i="3" l="1"/>
  <c r="G178" i="3" s="1"/>
  <c r="D131" i="3"/>
  <c r="G120" i="3"/>
  <c r="G119" i="3"/>
  <c r="G117" i="3"/>
  <c r="G116" i="3"/>
  <c r="G115" i="3"/>
  <c r="G114" i="3"/>
  <c r="G113" i="3"/>
  <c r="G131" i="3" l="1"/>
  <c r="G133" i="3" s="1"/>
  <c r="G68" i="3"/>
  <c r="G69" i="3"/>
  <c r="G70" i="3"/>
  <c r="G71" i="3"/>
  <c r="G72" i="3"/>
  <c r="G73" i="3"/>
  <c r="G74" i="3"/>
  <c r="G75" i="3"/>
  <c r="G76" i="3"/>
  <c r="P37" i="3" l="1"/>
  <c r="P35" i="3"/>
  <c r="G14" i="3" l="1"/>
  <c r="D38" i="3"/>
  <c r="D33" i="3"/>
  <c r="G37" i="3"/>
  <c r="G36" i="3"/>
  <c r="G35" i="3"/>
  <c r="G34" i="3"/>
  <c r="G38" i="3" l="1"/>
  <c r="G20" i="3"/>
  <c r="G15" i="3"/>
  <c r="G32" i="3"/>
  <c r="G16" i="3"/>
  <c r="G17" i="3"/>
  <c r="D84" i="3" l="1"/>
  <c r="G67" i="3"/>
  <c r="G84" i="3" l="1"/>
  <c r="G86" i="3" s="1"/>
  <c r="G25" i="3" l="1"/>
  <c r="G24" i="3"/>
  <c r="G23" i="3"/>
  <c r="G31" i="3" l="1"/>
  <c r="G30" i="3" l="1"/>
  <c r="G29" i="3" l="1"/>
  <c r="G28" i="3"/>
  <c r="G19" i="3" l="1"/>
  <c r="G21" i="3"/>
  <c r="G22" i="3"/>
  <c r="G26" i="3"/>
  <c r="G27" i="3"/>
  <c r="G18" i="3"/>
  <c r="G33" i="3" l="1"/>
  <c r="G39" i="3" s="1"/>
  <c r="G40" i="3" s="1"/>
</calcChain>
</file>

<file path=xl/sharedStrings.xml><?xml version="1.0" encoding="utf-8"?>
<sst xmlns="http://schemas.openxmlformats.org/spreadsheetml/2006/main" count="591" uniqueCount="102">
  <si>
    <t>STT</t>
  </si>
  <si>
    <t>Ngày/tháng/năm</t>
  </si>
  <si>
    <t>ĐVT</t>
  </si>
  <si>
    <t>Cán bộ vật tư</t>
  </si>
  <si>
    <t>Kế toán phụ trách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</si>
  <si>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</si>
  <si>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</si>
  <si>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</si>
  <si>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</si>
  <si>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</si>
  <si>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</si>
  <si>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</si>
  <si>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</si>
  <si>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</si>
  <si>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</si>
  <si>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Chúng tôi gồm các bên:</t>
  </si>
  <si>
    <t>Đại diện: Công ty CP Xây dựng Ngô Quyền ( Bên mua )</t>
  </si>
  <si>
    <t>Ông: Nguyễn Hoàng Sơn            Chức vụ: CB Vật tư</t>
  </si>
  <si>
    <t>01/4/2026</t>
  </si>
  <si>
    <t>m3</t>
  </si>
  <si>
    <t>02/4/2026</t>
  </si>
  <si>
    <t>04/4/2026</t>
  </si>
  <si>
    <t>06/4/2026</t>
  </si>
  <si>
    <t>08/4/2026</t>
  </si>
  <si>
    <t>Công trình: Trại Chuối</t>
  </si>
  <si>
    <t>Đại diện: Công Ty TNHH Xây dựng và vật tư Quang Minh ( Bên bán )</t>
  </si>
  <si>
    <t>Tên vật tư: Cát</t>
  </si>
  <si>
    <t>14/4/2026</t>
  </si>
  <si>
    <t>15/4/2026</t>
  </si>
  <si>
    <t>16/4/2026</t>
  </si>
  <si>
    <t>17/4/2026</t>
  </si>
  <si>
    <t>18/4/2026</t>
  </si>
  <si>
    <t>23/4/2026</t>
  </si>
  <si>
    <t>24/4/2026</t>
  </si>
  <si>
    <t>Loại vật tư</t>
  </si>
  <si>
    <t>Cát xây Việt Trì</t>
  </si>
  <si>
    <t>Cát xây Vĩnh Phú</t>
  </si>
  <si>
    <t>Tên vật tư</t>
  </si>
  <si>
    <t>25/4/2026</t>
  </si>
  <si>
    <t>Tháng: 04/2026</t>
  </si>
  <si>
    <t>Kính đề nghị quý Công ty TNHH Xây Dựng Và Vật Tư Quang Minh kiểm tra và ký xác nhận đối chiếu công nợ vật tư tháng ( nếu có gì cần điều chỉnh xin liên hệ với Cán bộ vật tư hiện đang làm việc với quý Công ty để làm rõ )</t>
  </si>
  <si>
    <t>A</t>
  </si>
  <si>
    <t>Cộng P/S</t>
  </si>
  <si>
    <t>B</t>
  </si>
  <si>
    <t>A+B</t>
  </si>
  <si>
    <t>Tổng nợ</t>
  </si>
  <si>
    <t>Ông (bà): ………………………………………...            Chức vụ: ………………………………..</t>
  </si>
  <si>
    <t xml:space="preserve"> </t>
  </si>
  <si>
    <t>28/4/2026</t>
  </si>
  <si>
    <t>Tên vật tư: Cát + Đá</t>
  </si>
  <si>
    <t>Đá 1/2 A1</t>
  </si>
  <si>
    <t>29/4/2026</t>
  </si>
  <si>
    <t>Tên vật tư: Cát + đá</t>
  </si>
  <si>
    <t>Tháng: 05/2026</t>
  </si>
  <si>
    <t>Tên vật tư:  Cát + Đá</t>
  </si>
  <si>
    <t>27/3/2026</t>
  </si>
  <si>
    <t>28/3/2026</t>
  </si>
  <si>
    <t>30/3/2026</t>
  </si>
  <si>
    <t>27/4/2026</t>
  </si>
  <si>
    <t>Cát trát Vĩnh Phú</t>
  </si>
  <si>
    <t>Dư nợ mang sang: Hết ngày 26/3/2026</t>
  </si>
  <si>
    <t>31/3/2026</t>
  </si>
  <si>
    <t>Tổng cát xây Việt Trì</t>
  </si>
  <si>
    <t>Số công nợ cát xây từ ngày 27/03/2026 đến hết ngày 27/04/2026 như sau:</t>
  </si>
  <si>
    <t>Ngày chốt khối lượng của tháng: Từ ngày 27/3/2026 đến ngày 27/4/2026</t>
  </si>
  <si>
    <t>Số công nợ cát xây từ ngày 28/04/2026 đến hết ngày 26/05/2026 như sau:</t>
  </si>
  <si>
    <t xml:space="preserve">    Hải Phòng, ngày ... tháng ...  năm 2026</t>
  </si>
  <si>
    <t>Tổng cát Xây Vĩnh Phú</t>
  </si>
  <si>
    <t xml:space="preserve">    Hải Phòng, ngày ... tháng ... năm 2026</t>
  </si>
  <si>
    <t>Ngày chốt khối lượng của tháng: Từ ngày 28/4/2026 đến ngày 26/5/2026</t>
  </si>
  <si>
    <t>05/5/2026</t>
  </si>
  <si>
    <t>07/5/2026</t>
  </si>
  <si>
    <t>09/5/2026</t>
  </si>
  <si>
    <t>Dư nợ mang sang: Hết ngày 27/4/2026</t>
  </si>
  <si>
    <t xml:space="preserve">   Đại diện bên bán                                Kế toán phụ trách                                    Cán bộ vật tư</t>
  </si>
  <si>
    <t>18/5/2026</t>
  </si>
  <si>
    <t>19/5/2026</t>
  </si>
  <si>
    <t>C</t>
  </si>
  <si>
    <t>Chuyển khoản</t>
  </si>
  <si>
    <t>A+B-C</t>
  </si>
  <si>
    <t>Ngày chốt khối lượng của tháng: Từ ngày 26/5/2026 đến ngày 26/6/2026</t>
  </si>
  <si>
    <t>27/5/2026</t>
  </si>
  <si>
    <t>04/6/2026</t>
  </si>
  <si>
    <t>Tháng: 06/2026</t>
  </si>
  <si>
    <t>Số công nợ cát xây từ ngày 26/05/2026 đến hết ngày 26/06/2026 như sau:</t>
  </si>
  <si>
    <t>Dư nợ mang sang: Hết ngày 26/5/2026</t>
  </si>
  <si>
    <t>14/6/2026</t>
  </si>
  <si>
    <t>Cát Vĩnh Phú</t>
  </si>
  <si>
    <t>15/6/2026</t>
  </si>
  <si>
    <t>18/6/2026</t>
  </si>
  <si>
    <t>Đá 1x2</t>
  </si>
  <si>
    <t>22/6/2026</t>
  </si>
  <si>
    <t>Ngày chốt khối lượng của tháng: Từ ngày 26/6/2026 đến ngày 27/6/2026</t>
  </si>
  <si>
    <t>27/6/2026</t>
  </si>
  <si>
    <t>Số công nợ cát xây từ ngày 26/06/2026 đến hết ngày 26/07/2026 như sau:</t>
  </si>
  <si>
    <t>Tháng: 07/2026</t>
  </si>
  <si>
    <t>Dư nợ mang sang: Hết ngày 26/6/2026</t>
  </si>
  <si>
    <t>Nhà dịch vụ</t>
  </si>
  <si>
    <t>Công trình: Trại Chuối + Dải cây xanh + Tiên Lãng ( Việt Úc )</t>
  </si>
  <si>
    <t>Công trình: Trại Chuối + Dải Cây Xanh + Tiên Lãng ( Việt Úc )</t>
  </si>
  <si>
    <t>16/6/2026</t>
  </si>
  <si>
    <t>28/6/2026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</si>
</sst>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[Red]#,##0"/>
    <numFmt numFmtId="165" formatCode="[$-1010000]d/m/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sz val="13"/>
      <color rgb="FFFF0000"/>
      <name val="Times New Roman"/>
      <family val="1"/>
    </font>
    <font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4" fontId="2" fillId="0" borderId="1" xfId="0" quotePrefix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164" fontId="4" fillId="0" borderId="1" xfId="0" applyNumberFormat="1" applyFont="1" applyBorder="1" applyAlignment="1">
      <alignment horizontal="right"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 wrapText="1"/>
    </xf>
    <xf numFmtId="0" fontId="4" fillId="0" borderId="1" xfId="0" quotePrefix="1" applyFont="1" applyBorder="1" applyAlignment="1">
      <alignment vertical="center"/>
    </xf>
    <xf numFmtId="0" fontId="4" fillId="0" borderId="3" xfId="0" quotePrefix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quotePrefix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14" fontId="7" fillId="0" borderId="1" xfId="0" quotePrefix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2" fillId="3" borderId="1" xfId="0" quotePrefix="1" applyFont="1" applyFill="1" applyBorder="1" applyAlignment="1">
      <alignment horizontal="center" vertical="center"/>
    </xf>
    <xf numFmtId="165" fontId="2" fillId="0" borderId="0" xfId="0" applyNumberFormat="1" applyFont="1"/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164" fontId="2" fillId="0" borderId="0" xfId="0" applyNumberFormat="1" applyFont="1"/>
    <xf numFmtId="0" fontId="4" fillId="0" borderId="3" xfId="0" quotePrefix="1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quotePrefix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0" fontId="5" fillId="0" borderId="4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"/>
  <sheetViews>
    <sheetView topLeftCell="A97" workbookViewId="0">
      <selection activeCell="O108" sqref="O108"/>
    </sheetView>
  </sheetViews>
  <sheetFormatPr defaultRowHeight="16.5" x14ac:dyDescent="0.25"/>
  <cols>
    <col min="1" max="1" width="5.85546875" style="2" customWidth="1"/>
    <col min="2" max="2" width="17.5703125" style="2" customWidth="1"/>
    <col min="3" max="3" width="18.7109375" style="2" customWidth="1"/>
    <col min="4" max="4" width="8.42578125" style="13" customWidth="1"/>
    <col min="5" max="5" width="6.42578125" style="13" customWidth="1"/>
    <col min="6" max="6" width="14.85546875" style="3" customWidth="1"/>
    <col min="7" max="7" width="14.5703125" style="3" customWidth="1"/>
    <col min="8" max="8" width="14.42578125" style="3" customWidth="1"/>
    <col min="9" max="16384" width="9.140625" style="3"/>
  </cols>
  <sheetData>
    <row r="1" spans="1:8" ht="26.25" customHeight="1" x14ac:dyDescent="0.25">
      <c r="A1" s="63" t="s">
        <v>14</v>
      </c>
      <c r="B1" s="63"/>
      <c r="C1" s="63"/>
      <c r="D1" s="63"/>
      <c r="E1" s="63"/>
      <c r="F1" s="63"/>
    </row>
    <row r="2" spans="1:8" ht="28.5" customHeight="1" x14ac:dyDescent="0.25">
      <c r="A2" s="64" t="s">
        <v>8</v>
      </c>
      <c r="B2" s="64"/>
      <c r="C2" s="64"/>
      <c r="D2" s="64"/>
      <c r="E2" s="64"/>
      <c r="F2" s="64"/>
      <c r="G2" s="64"/>
      <c r="H2" s="64"/>
    </row>
    <row r="3" spans="1:8" ht="24" customHeight="1" x14ac:dyDescent="0.25">
      <c r="A3" s="65" t="s">
        <v>24</v>
      </c>
      <c r="B3" s="65"/>
      <c r="C3" s="65"/>
      <c r="D3" s="65"/>
      <c r="E3" s="65"/>
      <c r="F3" s="65"/>
      <c r="G3" s="65"/>
      <c r="H3" s="65"/>
    </row>
    <row r="4" spans="1:8" ht="24" customHeight="1" x14ac:dyDescent="0.25">
      <c r="A4" s="65" t="s">
        <v>26</v>
      </c>
      <c r="B4" s="65"/>
      <c r="C4" s="65"/>
      <c r="D4" s="65"/>
      <c r="E4" s="65"/>
      <c r="F4" s="65"/>
      <c r="G4" s="65"/>
      <c r="H4" s="65"/>
    </row>
    <row r="5" spans="1:8" ht="24" customHeight="1" x14ac:dyDescent="0.25">
      <c r="A5" s="65" t="s">
        <v>64</v>
      </c>
      <c r="B5" s="65"/>
      <c r="C5" s="65"/>
      <c r="D5" s="65"/>
      <c r="E5" s="65"/>
      <c r="F5" s="65"/>
      <c r="G5" s="65"/>
      <c r="H5" s="65"/>
    </row>
    <row r="6" spans="1:8" ht="18" customHeight="1" x14ac:dyDescent="0.25">
      <c r="F6" s="12"/>
      <c r="G6" s="12"/>
      <c r="H6" s="12"/>
    </row>
    <row r="7" spans="1:8" ht="38.25" customHeight="1" x14ac:dyDescent="0.25">
      <c r="A7" s="4" t="s">
        <v>0</v>
      </c>
      <c r="B7" s="4" t="s">
        <v>1</v>
      </c>
      <c r="C7" s="4" t="s">
        <v>34</v>
      </c>
      <c r="D7" s="5" t="s">
        <v>6</v>
      </c>
      <c r="E7" s="4" t="s">
        <v>2</v>
      </c>
      <c r="F7" s="4" t="s">
        <v>3</v>
      </c>
      <c r="G7" s="5" t="s">
        <v>5</v>
      </c>
      <c r="H7" s="5" t="s">
        <v>7</v>
      </c>
    </row>
    <row r="8" spans="1:8" ht="21" customHeight="1" x14ac:dyDescent="0.25">
      <c r="A8" s="6">
        <v>1</v>
      </c>
      <c r="B8" s="6" t="s">
        <v>55</v>
      </c>
      <c r="C8" s="30" t="s">
        <v>35</v>
      </c>
      <c r="D8" s="30">
        <v>4</v>
      </c>
      <c r="E8" s="30" t="s">
        <v>19</v>
      </c>
      <c r="F8" s="9"/>
      <c r="G8" s="9"/>
      <c r="H8" s="9"/>
    </row>
    <row r="9" spans="1:8" ht="21" customHeight="1" x14ac:dyDescent="0.25">
      <c r="A9" s="6">
        <v>2</v>
      </c>
      <c r="B9" s="6" t="s">
        <v>56</v>
      </c>
      <c r="C9" s="7" t="s">
        <v>35</v>
      </c>
      <c r="D9" s="6">
        <v>4</v>
      </c>
      <c r="E9" s="6" t="s">
        <v>19</v>
      </c>
      <c r="F9" s="9"/>
      <c r="G9" s="9"/>
      <c r="H9" s="9"/>
    </row>
    <row r="10" spans="1:8" ht="21" customHeight="1" x14ac:dyDescent="0.25">
      <c r="A10" s="6">
        <v>3</v>
      </c>
      <c r="B10" s="6" t="s">
        <v>57</v>
      </c>
      <c r="C10" s="7" t="s">
        <v>35</v>
      </c>
      <c r="D10" s="6">
        <v>4</v>
      </c>
      <c r="E10" s="6" t="s">
        <v>19</v>
      </c>
      <c r="F10" s="9"/>
      <c r="G10" s="9"/>
      <c r="H10" s="9"/>
    </row>
    <row r="11" spans="1:8" ht="21" customHeight="1" x14ac:dyDescent="0.25">
      <c r="A11" s="6">
        <v>4</v>
      </c>
      <c r="B11" s="7" t="s">
        <v>18</v>
      </c>
      <c r="C11" s="7" t="s">
        <v>35</v>
      </c>
      <c r="D11" s="6">
        <v>4</v>
      </c>
      <c r="E11" s="6" t="s">
        <v>19</v>
      </c>
      <c r="F11" s="9"/>
      <c r="G11" s="9"/>
      <c r="H11" s="9"/>
    </row>
    <row r="12" spans="1:8" ht="21" customHeight="1" x14ac:dyDescent="0.25">
      <c r="A12" s="6">
        <v>5</v>
      </c>
      <c r="B12" s="7" t="s">
        <v>20</v>
      </c>
      <c r="C12" s="7" t="s">
        <v>35</v>
      </c>
      <c r="D12" s="6">
        <v>4</v>
      </c>
      <c r="E12" s="6" t="s">
        <v>19</v>
      </c>
      <c r="F12" s="9"/>
      <c r="G12" s="9"/>
      <c r="H12" s="9"/>
    </row>
    <row r="13" spans="1:8" ht="21" customHeight="1" x14ac:dyDescent="0.25">
      <c r="A13" s="6">
        <v>6</v>
      </c>
      <c r="B13" s="40" t="s">
        <v>21</v>
      </c>
      <c r="C13" s="37" t="s">
        <v>35</v>
      </c>
      <c r="D13" s="36">
        <v>4</v>
      </c>
      <c r="E13" s="36" t="s">
        <v>19</v>
      </c>
      <c r="F13" s="9"/>
      <c r="G13" s="9"/>
      <c r="H13" s="9"/>
    </row>
    <row r="14" spans="1:8" ht="21" customHeight="1" x14ac:dyDescent="0.25">
      <c r="A14" s="6">
        <v>7</v>
      </c>
      <c r="B14" s="7" t="s">
        <v>23</v>
      </c>
      <c r="C14" s="7" t="s">
        <v>35</v>
      </c>
      <c r="D14" s="6">
        <v>8</v>
      </c>
      <c r="E14" s="6" t="s">
        <v>19</v>
      </c>
      <c r="F14" s="9"/>
      <c r="G14" s="9"/>
      <c r="H14" s="9"/>
    </row>
    <row r="15" spans="1:8" ht="21" customHeight="1" x14ac:dyDescent="0.25">
      <c r="A15" s="6">
        <v>8</v>
      </c>
      <c r="B15" s="11">
        <v>46360</v>
      </c>
      <c r="C15" s="7" t="s">
        <v>35</v>
      </c>
      <c r="D15" s="6">
        <v>4</v>
      </c>
      <c r="E15" s="6" t="s">
        <v>19</v>
      </c>
      <c r="F15" s="9"/>
      <c r="G15" s="9"/>
      <c r="H15" s="9"/>
    </row>
    <row r="16" spans="1:8" ht="21" customHeight="1" x14ac:dyDescent="0.25">
      <c r="A16" s="6">
        <v>9</v>
      </c>
      <c r="B16" s="6" t="s">
        <v>27</v>
      </c>
      <c r="C16" s="7" t="s">
        <v>35</v>
      </c>
      <c r="D16" s="6">
        <v>4</v>
      </c>
      <c r="E16" s="6" t="s">
        <v>19</v>
      </c>
      <c r="F16" s="9"/>
      <c r="G16" s="9"/>
      <c r="H16" s="9"/>
    </row>
    <row r="17" spans="1:8" ht="21" customHeight="1" x14ac:dyDescent="0.25">
      <c r="A17" s="6">
        <v>10</v>
      </c>
      <c r="B17" s="6" t="s">
        <v>28</v>
      </c>
      <c r="C17" s="7" t="s">
        <v>35</v>
      </c>
      <c r="D17" s="6">
        <v>4</v>
      </c>
      <c r="E17" s="6" t="s">
        <v>19</v>
      </c>
      <c r="F17" s="9"/>
      <c r="G17" s="9"/>
      <c r="H17" s="9"/>
    </row>
    <row r="18" spans="1:8" ht="21" customHeight="1" x14ac:dyDescent="0.25">
      <c r="A18" s="6">
        <v>11</v>
      </c>
      <c r="B18" s="6" t="s">
        <v>29</v>
      </c>
      <c r="C18" s="7" t="s">
        <v>35</v>
      </c>
      <c r="D18" s="6">
        <v>4</v>
      </c>
      <c r="E18" s="6" t="s">
        <v>19</v>
      </c>
      <c r="F18" s="9"/>
      <c r="G18" s="9"/>
      <c r="H18" s="9"/>
    </row>
    <row r="19" spans="1:8" ht="21" customHeight="1" x14ac:dyDescent="0.25">
      <c r="A19" s="6">
        <v>12</v>
      </c>
      <c r="B19" s="6" t="s">
        <v>30</v>
      </c>
      <c r="C19" s="7" t="s">
        <v>35</v>
      </c>
      <c r="D19" s="6">
        <v>4</v>
      </c>
      <c r="E19" s="6" t="s">
        <v>19</v>
      </c>
      <c r="F19" s="9"/>
      <c r="G19" s="9"/>
      <c r="H19" s="9"/>
    </row>
    <row r="20" spans="1:8" ht="21" customHeight="1" x14ac:dyDescent="0.25">
      <c r="A20" s="6">
        <v>13</v>
      </c>
      <c r="B20" s="6" t="s">
        <v>31</v>
      </c>
      <c r="C20" s="7" t="s">
        <v>35</v>
      </c>
      <c r="D20" s="6">
        <v>4</v>
      </c>
      <c r="E20" s="6" t="s">
        <v>19</v>
      </c>
      <c r="F20" s="9"/>
      <c r="G20" s="9"/>
      <c r="H20" s="9"/>
    </row>
    <row r="21" spans="1:8" ht="21" customHeight="1" x14ac:dyDescent="0.25">
      <c r="A21" s="6">
        <v>14</v>
      </c>
      <c r="B21" s="6" t="s">
        <v>32</v>
      </c>
      <c r="C21" s="7" t="s">
        <v>35</v>
      </c>
      <c r="D21" s="6">
        <v>4</v>
      </c>
      <c r="E21" s="6" t="s">
        <v>19</v>
      </c>
      <c r="F21" s="9"/>
      <c r="G21" s="9"/>
      <c r="H21" s="9"/>
    </row>
    <row r="22" spans="1:8" ht="21" customHeight="1" x14ac:dyDescent="0.25">
      <c r="A22" s="6">
        <v>15</v>
      </c>
      <c r="B22" s="6" t="s">
        <v>33</v>
      </c>
      <c r="C22" s="7" t="s">
        <v>35</v>
      </c>
      <c r="D22" s="6">
        <v>4</v>
      </c>
      <c r="E22" s="6" t="s">
        <v>19</v>
      </c>
      <c r="F22" s="9"/>
      <c r="G22" s="9"/>
      <c r="H22" s="9"/>
    </row>
    <row r="23" spans="1:8" ht="21" customHeight="1" x14ac:dyDescent="0.25">
      <c r="A23" s="6">
        <v>16</v>
      </c>
      <c r="B23" s="6" t="s">
        <v>38</v>
      </c>
      <c r="C23" s="7" t="s">
        <v>35</v>
      </c>
      <c r="D23" s="6">
        <v>4</v>
      </c>
      <c r="E23" s="6" t="s">
        <v>19</v>
      </c>
      <c r="F23" s="9"/>
      <c r="G23" s="9"/>
      <c r="H23" s="9"/>
    </row>
    <row r="24" spans="1:8" ht="21" customHeight="1" x14ac:dyDescent="0.25">
      <c r="A24" s="6">
        <v>17</v>
      </c>
      <c r="B24" s="6" t="s">
        <v>38</v>
      </c>
      <c r="C24" s="7" t="s">
        <v>35</v>
      </c>
      <c r="D24" s="6">
        <v>4</v>
      </c>
      <c r="E24" s="6" t="s">
        <v>19</v>
      </c>
      <c r="F24" s="9"/>
      <c r="G24" s="9"/>
      <c r="H24" s="9"/>
    </row>
    <row r="25" spans="1:8" ht="21" customHeight="1" x14ac:dyDescent="0.25">
      <c r="A25" s="6">
        <v>18</v>
      </c>
      <c r="B25" s="6" t="s">
        <v>58</v>
      </c>
      <c r="C25" s="7" t="s">
        <v>35</v>
      </c>
      <c r="D25" s="6">
        <v>4</v>
      </c>
      <c r="E25" s="6" t="s">
        <v>19</v>
      </c>
      <c r="F25" s="9"/>
      <c r="G25" s="9"/>
      <c r="H25" s="9"/>
    </row>
    <row r="26" spans="1:8" ht="21" customHeight="1" x14ac:dyDescent="0.25">
      <c r="A26" s="6">
        <v>19</v>
      </c>
      <c r="B26" s="30" t="s">
        <v>55</v>
      </c>
      <c r="C26" s="30" t="s">
        <v>59</v>
      </c>
      <c r="D26" s="30">
        <v>4</v>
      </c>
      <c r="E26" s="30" t="s">
        <v>19</v>
      </c>
      <c r="F26" s="9"/>
      <c r="G26" s="9"/>
      <c r="H26" s="9"/>
    </row>
    <row r="27" spans="1:8" ht="21" customHeight="1" x14ac:dyDescent="0.25">
      <c r="A27" s="6">
        <v>20</v>
      </c>
      <c r="B27" s="30" t="s">
        <v>61</v>
      </c>
      <c r="C27" s="30" t="s">
        <v>36</v>
      </c>
      <c r="D27" s="30">
        <v>4</v>
      </c>
      <c r="E27" s="30" t="s">
        <v>19</v>
      </c>
      <c r="F27" s="9"/>
      <c r="G27" s="9"/>
      <c r="H27" s="9"/>
    </row>
    <row r="28" spans="1:8" ht="21" customHeight="1" x14ac:dyDescent="0.25">
      <c r="A28" s="6">
        <v>21</v>
      </c>
      <c r="B28" s="29" t="s">
        <v>22</v>
      </c>
      <c r="C28" s="30" t="s">
        <v>36</v>
      </c>
      <c r="D28" s="30">
        <v>4</v>
      </c>
      <c r="E28" s="30" t="s">
        <v>19</v>
      </c>
      <c r="F28" s="9"/>
      <c r="G28" s="9"/>
      <c r="H28" s="9"/>
    </row>
    <row r="29" spans="1:8" ht="21" customHeight="1" x14ac:dyDescent="0.25">
      <c r="A29" s="6">
        <v>22</v>
      </c>
      <c r="B29" s="30" t="s">
        <v>38</v>
      </c>
      <c r="C29" s="30" t="s">
        <v>36</v>
      </c>
      <c r="D29" s="30">
        <v>4</v>
      </c>
      <c r="E29" s="30" t="s">
        <v>19</v>
      </c>
      <c r="F29" s="9"/>
      <c r="G29" s="9"/>
      <c r="H29" s="9"/>
    </row>
    <row r="30" spans="1:8" x14ac:dyDescent="0.25">
      <c r="A30" s="6"/>
      <c r="D30" s="28"/>
      <c r="E30" s="28"/>
    </row>
    <row r="31" spans="1:8" x14ac:dyDescent="0.25">
      <c r="D31" s="28"/>
      <c r="E31" s="28"/>
    </row>
    <row r="34" spans="1:8" ht="26.25" customHeight="1" x14ac:dyDescent="0.25">
      <c r="A34" s="63" t="s">
        <v>14</v>
      </c>
      <c r="B34" s="63"/>
      <c r="C34" s="63"/>
      <c r="D34" s="63"/>
      <c r="E34" s="63"/>
      <c r="F34" s="63"/>
    </row>
    <row r="35" spans="1:8" ht="28.5" customHeight="1" x14ac:dyDescent="0.25">
      <c r="A35" s="64" t="s">
        <v>8</v>
      </c>
      <c r="B35" s="64"/>
      <c r="C35" s="64"/>
      <c r="D35" s="64"/>
      <c r="E35" s="64"/>
      <c r="F35" s="64"/>
      <c r="G35" s="64"/>
      <c r="H35" s="64"/>
    </row>
    <row r="36" spans="1:8" ht="24" customHeight="1" x14ac:dyDescent="0.25">
      <c r="A36" s="65" t="s">
        <v>24</v>
      </c>
      <c r="B36" s="65"/>
      <c r="C36" s="65"/>
      <c r="D36" s="65"/>
      <c r="E36" s="65"/>
      <c r="F36" s="65"/>
      <c r="G36" s="65"/>
      <c r="H36" s="65"/>
    </row>
    <row r="37" spans="1:8" ht="24" customHeight="1" x14ac:dyDescent="0.25">
      <c r="A37" s="65" t="s">
        <v>49</v>
      </c>
      <c r="B37" s="65"/>
      <c r="C37" s="65"/>
      <c r="D37" s="65"/>
      <c r="E37" s="65"/>
      <c r="F37" s="65"/>
      <c r="G37" s="65"/>
      <c r="H37" s="65"/>
    </row>
    <row r="38" spans="1:8" ht="24" customHeight="1" x14ac:dyDescent="0.25">
      <c r="A38" s="65" t="s">
        <v>69</v>
      </c>
      <c r="B38" s="65"/>
      <c r="C38" s="65"/>
      <c r="D38" s="65"/>
      <c r="E38" s="65"/>
      <c r="F38" s="65"/>
      <c r="G38" s="65"/>
      <c r="H38" s="65"/>
    </row>
    <row r="39" spans="1:8" ht="18" customHeight="1" x14ac:dyDescent="0.25">
      <c r="D39" s="28"/>
      <c r="E39" s="28"/>
      <c r="F39" s="27"/>
      <c r="G39" s="27"/>
      <c r="H39" s="27"/>
    </row>
    <row r="40" spans="1:8" ht="38.25" customHeight="1" x14ac:dyDescent="0.25">
      <c r="A40" s="4" t="s">
        <v>0</v>
      </c>
      <c r="B40" s="4" t="s">
        <v>1</v>
      </c>
      <c r="C40" s="4" t="s">
        <v>34</v>
      </c>
      <c r="D40" s="5" t="s">
        <v>6</v>
      </c>
      <c r="E40" s="4" t="s">
        <v>2</v>
      </c>
      <c r="F40" s="4" t="s">
        <v>3</v>
      </c>
      <c r="G40" s="5" t="s">
        <v>5</v>
      </c>
      <c r="H40" s="5" t="s">
        <v>7</v>
      </c>
    </row>
    <row r="41" spans="1:8" ht="25.5" customHeight="1" x14ac:dyDescent="0.25">
      <c r="A41" s="6">
        <v>1</v>
      </c>
      <c r="B41" s="7" t="s">
        <v>48</v>
      </c>
      <c r="C41" s="42" t="s">
        <v>36</v>
      </c>
      <c r="D41" s="6">
        <v>4</v>
      </c>
      <c r="E41" s="6" t="s">
        <v>19</v>
      </c>
      <c r="F41" s="9"/>
      <c r="G41" s="9"/>
      <c r="H41" s="9"/>
    </row>
    <row r="42" spans="1:8" ht="25.5" customHeight="1" x14ac:dyDescent="0.25">
      <c r="A42" s="6">
        <v>2</v>
      </c>
      <c r="B42" s="7" t="s">
        <v>48</v>
      </c>
      <c r="C42" s="7" t="s">
        <v>50</v>
      </c>
      <c r="D42" s="6">
        <v>4</v>
      </c>
      <c r="E42" s="6" t="s">
        <v>19</v>
      </c>
      <c r="F42" s="9"/>
      <c r="G42" s="9"/>
      <c r="H42" s="9"/>
    </row>
    <row r="43" spans="1:8" ht="25.5" customHeight="1" x14ac:dyDescent="0.25">
      <c r="A43" s="6">
        <v>3</v>
      </c>
      <c r="B43" s="7" t="s">
        <v>51</v>
      </c>
      <c r="C43" s="7" t="s">
        <v>35</v>
      </c>
      <c r="D43" s="6">
        <v>4</v>
      </c>
      <c r="E43" s="6" t="s">
        <v>19</v>
      </c>
      <c r="F43" s="9"/>
      <c r="G43" s="9"/>
      <c r="H43" s="9"/>
    </row>
    <row r="44" spans="1:8" ht="25.5" customHeight="1" x14ac:dyDescent="0.25">
      <c r="A44" s="6">
        <v>4</v>
      </c>
      <c r="B44" s="10" t="s">
        <v>70</v>
      </c>
      <c r="C44" s="7" t="s">
        <v>35</v>
      </c>
      <c r="D44" s="6">
        <v>4</v>
      </c>
      <c r="E44" s="6" t="s">
        <v>19</v>
      </c>
      <c r="F44" s="9"/>
      <c r="G44" s="9"/>
      <c r="H44" s="9"/>
    </row>
    <row r="45" spans="1:8" ht="25.5" customHeight="1" x14ac:dyDescent="0.25">
      <c r="A45" s="6">
        <v>5</v>
      </c>
      <c r="B45" s="7" t="s">
        <v>71</v>
      </c>
      <c r="C45" s="7" t="s">
        <v>35</v>
      </c>
      <c r="D45" s="6">
        <v>4</v>
      </c>
      <c r="E45" s="6" t="s">
        <v>19</v>
      </c>
      <c r="F45" s="9"/>
      <c r="G45" s="9"/>
      <c r="H45" s="9"/>
    </row>
    <row r="46" spans="1:8" ht="25.5" customHeight="1" x14ac:dyDescent="0.25">
      <c r="A46" s="6">
        <v>6</v>
      </c>
      <c r="B46" s="10" t="s">
        <v>72</v>
      </c>
      <c r="C46" s="7" t="s">
        <v>35</v>
      </c>
      <c r="D46" s="6">
        <v>4</v>
      </c>
      <c r="E46" s="6" t="s">
        <v>19</v>
      </c>
      <c r="F46" s="9"/>
      <c r="G46" s="9"/>
      <c r="H46" s="9"/>
    </row>
    <row r="47" spans="1:8" ht="25.5" customHeight="1" x14ac:dyDescent="0.25">
      <c r="A47" s="6">
        <v>7</v>
      </c>
      <c r="B47" s="44">
        <v>46331</v>
      </c>
      <c r="C47" s="42" t="s">
        <v>36</v>
      </c>
      <c r="D47" s="6">
        <v>4</v>
      </c>
      <c r="E47" s="6" t="s">
        <v>19</v>
      </c>
      <c r="F47" s="9"/>
      <c r="G47" s="9"/>
      <c r="H47" s="9"/>
    </row>
    <row r="48" spans="1:8" ht="25.5" customHeight="1" x14ac:dyDescent="0.25">
      <c r="A48" s="6">
        <v>8</v>
      </c>
      <c r="B48" s="11">
        <v>46361</v>
      </c>
      <c r="C48" s="7" t="s">
        <v>35</v>
      </c>
      <c r="D48" s="6">
        <v>4</v>
      </c>
      <c r="E48" s="8" t="s">
        <v>19</v>
      </c>
      <c r="F48" s="9"/>
      <c r="G48" s="9"/>
      <c r="H48" s="9"/>
    </row>
    <row r="49" spans="1:8" ht="25.5" customHeight="1" x14ac:dyDescent="0.25">
      <c r="A49" s="6">
        <v>9</v>
      </c>
      <c r="B49" s="6" t="s">
        <v>75</v>
      </c>
      <c r="C49" s="7" t="s">
        <v>35</v>
      </c>
      <c r="D49" s="6">
        <v>4</v>
      </c>
      <c r="E49" s="8" t="s">
        <v>19</v>
      </c>
      <c r="F49" s="9"/>
      <c r="G49" s="9"/>
      <c r="H49" s="9"/>
    </row>
    <row r="50" spans="1:8" ht="25.5" customHeight="1" x14ac:dyDescent="0.25">
      <c r="A50" s="6">
        <v>10</v>
      </c>
      <c r="B50" s="6" t="s">
        <v>76</v>
      </c>
      <c r="C50" s="7" t="s">
        <v>35</v>
      </c>
      <c r="D50" s="6">
        <v>4</v>
      </c>
      <c r="E50" s="8" t="s">
        <v>19</v>
      </c>
      <c r="F50" s="9"/>
      <c r="G50" s="9"/>
      <c r="H50" s="9"/>
    </row>
    <row r="51" spans="1:8" ht="25.5" customHeight="1" x14ac:dyDescent="0.25">
      <c r="A51" s="6">
        <v>11</v>
      </c>
      <c r="B51" s="8"/>
      <c r="C51" s="7"/>
      <c r="D51" s="8"/>
      <c r="E51" s="8" t="s">
        <v>19</v>
      </c>
      <c r="F51" s="9"/>
      <c r="G51" s="9"/>
      <c r="H51" s="9"/>
    </row>
    <row r="52" spans="1:8" ht="25.5" customHeight="1" x14ac:dyDescent="0.25">
      <c r="A52" s="6">
        <v>12</v>
      </c>
      <c r="B52" s="8"/>
      <c r="C52" s="7"/>
      <c r="D52" s="8"/>
      <c r="E52" s="8" t="s">
        <v>19</v>
      </c>
      <c r="F52" s="9"/>
      <c r="G52" s="9"/>
      <c r="H52" s="9"/>
    </row>
    <row r="53" spans="1:8" ht="25.5" customHeight="1" x14ac:dyDescent="0.25">
      <c r="A53" s="6">
        <v>13</v>
      </c>
      <c r="B53" s="6"/>
      <c r="C53" s="7"/>
      <c r="D53" s="8"/>
      <c r="E53" s="8" t="s">
        <v>19</v>
      </c>
      <c r="F53" s="9"/>
      <c r="G53" s="9"/>
      <c r="H53" s="9"/>
    </row>
    <row r="54" spans="1:8" ht="25.5" customHeight="1" x14ac:dyDescent="0.25">
      <c r="A54" s="6">
        <v>14</v>
      </c>
      <c r="B54" s="6"/>
      <c r="C54" s="7"/>
      <c r="D54" s="8"/>
      <c r="E54" s="8" t="s">
        <v>19</v>
      </c>
      <c r="F54" s="9"/>
      <c r="G54" s="9"/>
      <c r="H54" s="9"/>
    </row>
    <row r="55" spans="1:8" ht="25.5" customHeight="1" x14ac:dyDescent="0.25">
      <c r="A55" s="6">
        <v>15</v>
      </c>
      <c r="B55" s="6"/>
      <c r="C55" s="30"/>
      <c r="D55" s="8"/>
      <c r="E55" s="8" t="s">
        <v>19</v>
      </c>
      <c r="F55" s="9"/>
      <c r="G55" s="9"/>
      <c r="H55" s="9"/>
    </row>
    <row r="56" spans="1:8" ht="25.5" customHeight="1" x14ac:dyDescent="0.25">
      <c r="A56" s="6">
        <v>16</v>
      </c>
      <c r="B56" s="6"/>
      <c r="C56" s="7"/>
      <c r="D56" s="8"/>
      <c r="E56" s="8" t="s">
        <v>19</v>
      </c>
      <c r="F56" s="9"/>
      <c r="G56" s="9"/>
      <c r="H56" s="9"/>
    </row>
    <row r="57" spans="1:8" ht="25.5" customHeight="1" x14ac:dyDescent="0.25">
      <c r="A57" s="6">
        <v>17</v>
      </c>
      <c r="B57" s="6"/>
      <c r="C57" s="7"/>
      <c r="D57" s="8"/>
      <c r="E57" s="8" t="s">
        <v>19</v>
      </c>
      <c r="F57" s="9"/>
      <c r="G57" s="9"/>
      <c r="H57" s="9"/>
    </row>
    <row r="67" spans="1:8" ht="26.25" customHeight="1" x14ac:dyDescent="0.25">
      <c r="A67" s="63" t="s">
        <v>14</v>
      </c>
      <c r="B67" s="63"/>
      <c r="C67" s="63"/>
      <c r="D67" s="63"/>
      <c r="E67" s="63"/>
      <c r="F67" s="63"/>
    </row>
    <row r="68" spans="1:8" ht="28.5" customHeight="1" x14ac:dyDescent="0.25">
      <c r="A68" s="64" t="s">
        <v>8</v>
      </c>
      <c r="B68" s="64"/>
      <c r="C68" s="64"/>
      <c r="D68" s="64"/>
      <c r="E68" s="64"/>
      <c r="F68" s="64"/>
      <c r="G68" s="64"/>
      <c r="H68" s="64"/>
    </row>
    <row r="69" spans="1:8" ht="24" customHeight="1" x14ac:dyDescent="0.25">
      <c r="A69" s="65" t="s">
        <v>24</v>
      </c>
      <c r="B69" s="65"/>
      <c r="C69" s="65"/>
      <c r="D69" s="65"/>
      <c r="E69" s="65"/>
      <c r="F69" s="65"/>
      <c r="G69" s="65"/>
      <c r="H69" s="65"/>
    </row>
    <row r="70" spans="1:8" ht="24" customHeight="1" x14ac:dyDescent="0.25">
      <c r="A70" s="65" t="s">
        <v>49</v>
      </c>
      <c r="B70" s="65"/>
      <c r="C70" s="65"/>
      <c r="D70" s="65"/>
      <c r="E70" s="65"/>
      <c r="F70" s="65"/>
      <c r="G70" s="65"/>
      <c r="H70" s="65"/>
    </row>
    <row r="71" spans="1:8" ht="24" customHeight="1" x14ac:dyDescent="0.25">
      <c r="A71" s="65" t="s">
        <v>80</v>
      </c>
      <c r="B71" s="65"/>
      <c r="C71" s="65"/>
      <c r="D71" s="65"/>
      <c r="E71" s="65"/>
      <c r="F71" s="65"/>
      <c r="G71" s="65"/>
      <c r="H71" s="65"/>
    </row>
    <row r="72" spans="1:8" ht="18" customHeight="1" x14ac:dyDescent="0.25">
      <c r="D72" s="52"/>
      <c r="E72" s="52"/>
      <c r="F72" s="50"/>
      <c r="G72" s="50"/>
      <c r="H72" s="50"/>
    </row>
    <row r="73" spans="1:8" ht="38.25" customHeight="1" x14ac:dyDescent="0.25">
      <c r="A73" s="4" t="s">
        <v>0</v>
      </c>
      <c r="B73" s="4" t="s">
        <v>1</v>
      </c>
      <c r="C73" s="4" t="s">
        <v>34</v>
      </c>
      <c r="D73" s="5" t="s">
        <v>6</v>
      </c>
      <c r="E73" s="4" t="s">
        <v>2</v>
      </c>
      <c r="F73" s="4" t="s">
        <v>3</v>
      </c>
      <c r="G73" s="5" t="s">
        <v>5</v>
      </c>
      <c r="H73" s="5" t="s">
        <v>7</v>
      </c>
    </row>
    <row r="74" spans="1:8" ht="25.5" customHeight="1" x14ac:dyDescent="0.25">
      <c r="A74" s="6">
        <v>1</v>
      </c>
      <c r="B74" s="7" t="s">
        <v>81</v>
      </c>
      <c r="C74" s="29" t="s">
        <v>35</v>
      </c>
      <c r="D74" s="6">
        <v>4</v>
      </c>
      <c r="E74" s="6" t="s">
        <v>19</v>
      </c>
      <c r="F74" s="9"/>
      <c r="G74" s="9"/>
      <c r="H74" s="9"/>
    </row>
    <row r="75" spans="1:8" ht="25.5" customHeight="1" x14ac:dyDescent="0.25">
      <c r="A75" s="6">
        <v>2</v>
      </c>
      <c r="B75" s="7" t="s">
        <v>82</v>
      </c>
      <c r="C75" s="29" t="s">
        <v>35</v>
      </c>
      <c r="D75" s="6">
        <v>4</v>
      </c>
      <c r="E75" s="6" t="s">
        <v>19</v>
      </c>
      <c r="F75" s="9"/>
      <c r="G75" s="9"/>
      <c r="H75" s="9"/>
    </row>
    <row r="76" spans="1:8" ht="25.5" customHeight="1" x14ac:dyDescent="0.25">
      <c r="A76" s="6">
        <v>3</v>
      </c>
      <c r="B76" s="7" t="s">
        <v>86</v>
      </c>
      <c r="C76" s="29" t="s">
        <v>87</v>
      </c>
      <c r="D76" s="45">
        <v>4</v>
      </c>
      <c r="E76" s="6" t="s">
        <v>19</v>
      </c>
      <c r="F76" s="9"/>
      <c r="G76" s="9"/>
      <c r="H76" s="9"/>
    </row>
    <row r="77" spans="1:8" ht="25.5" customHeight="1" x14ac:dyDescent="0.25">
      <c r="A77" s="6">
        <v>4</v>
      </c>
      <c r="B77" s="10" t="s">
        <v>86</v>
      </c>
      <c r="C77" s="29" t="s">
        <v>35</v>
      </c>
      <c r="D77" s="6">
        <v>4</v>
      </c>
      <c r="E77" s="30" t="s">
        <v>19</v>
      </c>
      <c r="F77" s="9"/>
      <c r="G77" s="9"/>
      <c r="H77" s="9"/>
    </row>
    <row r="78" spans="1:8" ht="25.5" customHeight="1" x14ac:dyDescent="0.25">
      <c r="A78" s="6">
        <v>5</v>
      </c>
      <c r="B78" s="7" t="s">
        <v>88</v>
      </c>
      <c r="C78" s="29" t="s">
        <v>36</v>
      </c>
      <c r="D78" s="6">
        <v>3</v>
      </c>
      <c r="E78" s="6" t="s">
        <v>19</v>
      </c>
      <c r="F78" s="9"/>
      <c r="G78" s="9"/>
      <c r="H78" s="9"/>
    </row>
    <row r="79" spans="1:8" ht="25.5" customHeight="1" x14ac:dyDescent="0.25">
      <c r="A79" s="6">
        <v>6</v>
      </c>
      <c r="B79" s="10" t="s">
        <v>89</v>
      </c>
      <c r="C79" s="29" t="s">
        <v>36</v>
      </c>
      <c r="D79" s="6">
        <v>4</v>
      </c>
      <c r="E79" s="6" t="s">
        <v>19</v>
      </c>
      <c r="F79" s="9"/>
      <c r="G79" s="9"/>
      <c r="H79" s="9"/>
    </row>
    <row r="80" spans="1:8" ht="25.5" customHeight="1" x14ac:dyDescent="0.25">
      <c r="A80" s="6">
        <v>7</v>
      </c>
      <c r="B80" s="44" t="s">
        <v>91</v>
      </c>
      <c r="C80" s="29" t="s">
        <v>90</v>
      </c>
      <c r="D80" s="6">
        <v>4</v>
      </c>
      <c r="E80" s="6" t="s">
        <v>19</v>
      </c>
      <c r="F80" s="9"/>
      <c r="G80" s="9"/>
      <c r="H80" s="9"/>
    </row>
    <row r="81" spans="1:8" ht="25.5" customHeight="1" x14ac:dyDescent="0.25">
      <c r="A81" s="6">
        <v>8</v>
      </c>
      <c r="B81" s="11"/>
      <c r="C81" s="7"/>
      <c r="D81" s="6">
        <v>4</v>
      </c>
      <c r="E81" s="8" t="s">
        <v>19</v>
      </c>
      <c r="F81" s="9"/>
      <c r="G81" s="9"/>
      <c r="H81" s="9"/>
    </row>
    <row r="82" spans="1:8" ht="25.5" customHeight="1" x14ac:dyDescent="0.25">
      <c r="A82" s="6">
        <v>9</v>
      </c>
      <c r="B82" s="6"/>
      <c r="C82" s="7"/>
      <c r="D82" s="6">
        <v>4</v>
      </c>
      <c r="E82" s="8" t="s">
        <v>19</v>
      </c>
      <c r="F82" s="9"/>
      <c r="G82" s="9"/>
      <c r="H82" s="9"/>
    </row>
    <row r="83" spans="1:8" ht="25.5" customHeight="1" x14ac:dyDescent="0.25">
      <c r="A83" s="6">
        <v>10</v>
      </c>
      <c r="B83" s="6"/>
      <c r="C83" s="7"/>
      <c r="D83" s="6">
        <v>4</v>
      </c>
      <c r="E83" s="8" t="s">
        <v>19</v>
      </c>
      <c r="F83" s="9"/>
      <c r="G83" s="9"/>
      <c r="H83" s="9"/>
    </row>
    <row r="84" spans="1:8" ht="25.5" customHeight="1" x14ac:dyDescent="0.25">
      <c r="A84" s="6">
        <v>11</v>
      </c>
      <c r="B84" s="8"/>
      <c r="C84" s="7"/>
      <c r="D84" s="8"/>
      <c r="E84" s="8"/>
      <c r="F84" s="9"/>
      <c r="G84" s="9"/>
      <c r="H84" s="9"/>
    </row>
    <row r="85" spans="1:8" ht="25.5" customHeight="1" x14ac:dyDescent="0.25">
      <c r="A85" s="6">
        <v>12</v>
      </c>
      <c r="B85" s="8"/>
      <c r="C85" s="7"/>
      <c r="D85" s="8"/>
      <c r="E85" s="8"/>
      <c r="F85" s="9"/>
      <c r="G85" s="9"/>
      <c r="H85" s="9"/>
    </row>
    <row r="86" spans="1:8" ht="25.5" customHeight="1" x14ac:dyDescent="0.25">
      <c r="A86" s="6">
        <v>13</v>
      </c>
      <c r="B86" s="6"/>
      <c r="C86" s="7"/>
      <c r="D86" s="8"/>
      <c r="E86" s="8"/>
      <c r="F86" s="9"/>
      <c r="G86" s="9"/>
      <c r="H86" s="9"/>
    </row>
    <row r="87" spans="1:8" ht="25.5" customHeight="1" x14ac:dyDescent="0.25">
      <c r="A87" s="6">
        <v>14</v>
      </c>
      <c r="B87" s="6"/>
      <c r="C87" s="7"/>
      <c r="D87" s="8"/>
      <c r="E87" s="8"/>
      <c r="F87" s="9"/>
      <c r="G87" s="9"/>
      <c r="H87" s="9"/>
    </row>
    <row r="88" spans="1:8" ht="25.5" customHeight="1" x14ac:dyDescent="0.25">
      <c r="A88" s="6">
        <v>15</v>
      </c>
      <c r="B88" s="6"/>
      <c r="C88" s="30"/>
      <c r="D88" s="8"/>
      <c r="E88" s="8"/>
      <c r="F88" s="9"/>
      <c r="G88" s="9"/>
      <c r="H88" s="9"/>
    </row>
    <row r="89" spans="1:8" ht="25.5" customHeight="1" x14ac:dyDescent="0.25">
      <c r="A89" s="6">
        <v>16</v>
      </c>
      <c r="B89" s="6"/>
      <c r="C89" s="7"/>
      <c r="D89" s="8"/>
      <c r="E89" s="8"/>
      <c r="F89" s="9"/>
      <c r="G89" s="9"/>
      <c r="H89" s="9"/>
    </row>
    <row r="90" spans="1:8" ht="25.5" customHeight="1" x14ac:dyDescent="0.25">
      <c r="A90" s="6">
        <v>17</v>
      </c>
      <c r="B90" s="6"/>
      <c r="C90" s="7"/>
      <c r="D90" s="8"/>
      <c r="E90" s="8"/>
      <c r="F90" s="9"/>
      <c r="G90" s="9"/>
      <c r="H90" s="9"/>
    </row>
    <row r="97" spans="1:8" ht="26.25" customHeight="1" x14ac:dyDescent="0.25">
      <c r="A97" s="63" t="s">
        <v>14</v>
      </c>
      <c r="B97" s="63"/>
      <c r="C97" s="63"/>
      <c r="D97" s="63"/>
      <c r="E97" s="63"/>
      <c r="F97" s="63"/>
    </row>
    <row r="98" spans="1:8" ht="28.5" customHeight="1" x14ac:dyDescent="0.25">
      <c r="A98" s="64" t="s">
        <v>8</v>
      </c>
      <c r="B98" s="64"/>
      <c r="C98" s="64"/>
      <c r="D98" s="64"/>
      <c r="E98" s="64"/>
      <c r="F98" s="64"/>
      <c r="G98" s="64"/>
      <c r="H98" s="64"/>
    </row>
    <row r="99" spans="1:8" ht="24" customHeight="1" x14ac:dyDescent="0.25">
      <c r="A99" s="65" t="s">
        <v>24</v>
      </c>
      <c r="B99" s="65"/>
      <c r="C99" s="65"/>
      <c r="D99" s="65"/>
      <c r="E99" s="65"/>
      <c r="F99" s="65"/>
      <c r="G99" s="65"/>
      <c r="H99" s="65"/>
    </row>
    <row r="100" spans="1:8" ht="24" customHeight="1" x14ac:dyDescent="0.25">
      <c r="A100" s="65" t="s">
        <v>49</v>
      </c>
      <c r="B100" s="65"/>
      <c r="C100" s="65"/>
      <c r="D100" s="65"/>
      <c r="E100" s="65"/>
      <c r="F100" s="65"/>
      <c r="G100" s="65"/>
      <c r="H100" s="65"/>
    </row>
    <row r="101" spans="1:8" ht="24" customHeight="1" x14ac:dyDescent="0.25">
      <c r="A101" s="65" t="s">
        <v>92</v>
      </c>
      <c r="B101" s="65"/>
      <c r="C101" s="65"/>
      <c r="D101" s="65"/>
      <c r="E101" s="65"/>
      <c r="F101" s="65"/>
      <c r="G101" s="65"/>
      <c r="H101" s="65"/>
    </row>
    <row r="102" spans="1:8" ht="18" customHeight="1" x14ac:dyDescent="0.25">
      <c r="D102" s="54"/>
      <c r="E102" s="54"/>
      <c r="F102" s="53"/>
      <c r="G102" s="53"/>
      <c r="H102" s="53"/>
    </row>
    <row r="103" spans="1:8" ht="38.25" customHeight="1" x14ac:dyDescent="0.25">
      <c r="A103" s="4" t="s">
        <v>0</v>
      </c>
      <c r="B103" s="4" t="s">
        <v>1</v>
      </c>
      <c r="C103" s="4" t="s">
        <v>34</v>
      </c>
      <c r="D103" s="5" t="s">
        <v>6</v>
      </c>
      <c r="E103" s="4" t="s">
        <v>2</v>
      </c>
      <c r="F103" s="4" t="s">
        <v>3</v>
      </c>
      <c r="G103" s="5" t="s">
        <v>5</v>
      </c>
      <c r="H103" s="5" t="s">
        <v>7</v>
      </c>
    </row>
    <row r="104" spans="1:8" ht="25.5" customHeight="1" x14ac:dyDescent="0.25">
      <c r="A104" s="6">
        <v>1</v>
      </c>
      <c r="B104" s="7" t="s">
        <v>93</v>
      </c>
      <c r="C104" s="29" t="s">
        <v>35</v>
      </c>
      <c r="D104" s="6">
        <v>4</v>
      </c>
      <c r="E104" s="6" t="s">
        <v>19</v>
      </c>
      <c r="F104" s="9"/>
      <c r="G104" s="9"/>
      <c r="H104" s="9"/>
    </row>
    <row r="105" spans="1:8" ht="25.5" customHeight="1" x14ac:dyDescent="0.25">
      <c r="A105" s="6">
        <v>2</v>
      </c>
      <c r="B105" s="7" t="s">
        <v>101</v>
      </c>
      <c r="C105" s="29" t="s">
        <v>35</v>
      </c>
      <c r="D105" s="6">
        <v>4</v>
      </c>
      <c r="E105" s="6" t="s">
        <v>19</v>
      </c>
      <c r="F105" s="9"/>
      <c r="G105" s="9"/>
      <c r="H105" s="9"/>
    </row>
    <row r="106" spans="1:8" ht="25.5" customHeight="1" x14ac:dyDescent="0.25">
      <c r="A106" s="6"/>
      <c r="B106" s="7"/>
      <c r="C106" s="29"/>
      <c r="D106" s="45"/>
      <c r="E106" s="6"/>
      <c r="F106" s="9"/>
      <c r="G106" s="9"/>
      <c r="H106" s="9"/>
    </row>
    <row r="107" spans="1:8" ht="25.5" customHeight="1" x14ac:dyDescent="0.25">
      <c r="A107" s="6"/>
      <c r="B107" s="10"/>
      <c r="C107" s="29"/>
      <c r="D107" s="6"/>
      <c r="E107" s="30"/>
      <c r="F107" s="9"/>
      <c r="G107" s="9"/>
      <c r="H107" s="9"/>
    </row>
    <row r="108" spans="1:8" ht="25.5" customHeight="1" x14ac:dyDescent="0.25">
      <c r="A108" s="6"/>
      <c r="B108" s="7"/>
      <c r="C108" s="29"/>
      <c r="D108" s="6"/>
      <c r="E108" s="6"/>
      <c r="F108" s="9"/>
      <c r="G108" s="9"/>
      <c r="H108" s="9"/>
    </row>
    <row r="109" spans="1:8" ht="25.5" customHeight="1" x14ac:dyDescent="0.25">
      <c r="A109" s="6"/>
      <c r="B109" s="10"/>
      <c r="C109" s="29"/>
      <c r="D109" s="6"/>
      <c r="E109" s="6"/>
      <c r="F109" s="9"/>
      <c r="G109" s="9"/>
      <c r="H109" s="9"/>
    </row>
    <row r="110" spans="1:8" ht="25.5" customHeight="1" x14ac:dyDescent="0.25">
      <c r="A110" s="6"/>
      <c r="B110" s="44"/>
      <c r="C110" s="29"/>
      <c r="D110" s="6"/>
      <c r="E110" s="6"/>
      <c r="F110" s="9"/>
      <c r="G110" s="9"/>
      <c r="H110" s="9"/>
    </row>
    <row r="111" spans="1:8" ht="25.5" customHeight="1" x14ac:dyDescent="0.25">
      <c r="A111" s="6"/>
      <c r="B111" s="11"/>
      <c r="C111" s="7"/>
      <c r="D111" s="6"/>
      <c r="E111" s="8"/>
      <c r="F111" s="9"/>
      <c r="G111" s="9"/>
      <c r="H111" s="9"/>
    </row>
    <row r="112" spans="1:8" ht="25.5" customHeight="1" x14ac:dyDescent="0.25">
      <c r="A112" s="6"/>
      <c r="B112" s="6"/>
      <c r="C112" s="7"/>
      <c r="D112" s="6"/>
      <c r="E112" s="8"/>
      <c r="F112" s="9"/>
      <c r="G112" s="9"/>
      <c r="H112" s="9"/>
    </row>
    <row r="113" spans="1:8" ht="25.5" customHeight="1" x14ac:dyDescent="0.25">
      <c r="A113" s="6"/>
      <c r="B113" s="6"/>
      <c r="C113" s="7"/>
      <c r="D113" s="6"/>
      <c r="E113" s="8"/>
      <c r="F113" s="9"/>
      <c r="G113" s="9"/>
      <c r="H113" s="9"/>
    </row>
    <row r="114" spans="1:8" ht="25.5" customHeight="1" x14ac:dyDescent="0.25">
      <c r="A114" s="6"/>
      <c r="B114" s="8"/>
      <c r="C114" s="7"/>
      <c r="D114" s="8"/>
      <c r="E114" s="8"/>
      <c r="F114" s="9"/>
      <c r="G114" s="9"/>
      <c r="H114" s="9"/>
    </row>
    <row r="115" spans="1:8" ht="25.5" customHeight="1" x14ac:dyDescent="0.25">
      <c r="A115" s="6"/>
      <c r="B115" s="8"/>
      <c r="C115" s="7"/>
      <c r="D115" s="8"/>
      <c r="E115" s="8"/>
      <c r="F115" s="9"/>
      <c r="G115" s="9"/>
      <c r="H115" s="9"/>
    </row>
    <row r="116" spans="1:8" ht="25.5" customHeight="1" x14ac:dyDescent="0.25">
      <c r="A116" s="6"/>
      <c r="B116" s="6"/>
      <c r="C116" s="7"/>
      <c r="D116" s="8"/>
      <c r="E116" s="8"/>
      <c r="F116" s="9"/>
      <c r="G116" s="9"/>
      <c r="H116" s="9"/>
    </row>
    <row r="117" spans="1:8" ht="25.5" customHeight="1" x14ac:dyDescent="0.25">
      <c r="A117" s="6"/>
      <c r="B117" s="6"/>
      <c r="C117" s="7"/>
      <c r="D117" s="8"/>
      <c r="E117" s="8"/>
      <c r="F117" s="9"/>
      <c r="G117" s="9"/>
      <c r="H117" s="9"/>
    </row>
    <row r="118" spans="1:8" ht="25.5" customHeight="1" x14ac:dyDescent="0.25">
      <c r="A118" s="6"/>
      <c r="B118" s="6"/>
      <c r="C118" s="30"/>
      <c r="D118" s="8"/>
      <c r="E118" s="8"/>
      <c r="F118" s="9"/>
      <c r="G118" s="9"/>
      <c r="H118" s="9"/>
    </row>
    <row r="119" spans="1:8" ht="25.5" customHeight="1" x14ac:dyDescent="0.25">
      <c r="A119" s="6"/>
      <c r="B119" s="6"/>
      <c r="C119" s="7"/>
      <c r="D119" s="8"/>
      <c r="E119" s="8"/>
      <c r="F119" s="9"/>
      <c r="G119" s="9"/>
      <c r="H119" s="9"/>
    </row>
    <row r="120" spans="1:8" ht="25.5" customHeight="1" x14ac:dyDescent="0.25">
      <c r="A120" s="6"/>
      <c r="B120" s="6"/>
      <c r="C120" s="7"/>
      <c r="D120" s="8"/>
      <c r="E120" s="8"/>
      <c r="F120" s="9"/>
      <c r="G120" s="9"/>
      <c r="H120" s="9"/>
    </row>
  </sheetData>
  <mergeCells count="20">
    <mergeCell ref="A97:F97"/>
    <mergeCell ref="A98:H98"/>
    <mergeCell ref="A99:H99"/>
    <mergeCell ref="A100:H100"/>
    <mergeCell ref="A101:H101"/>
    <mergeCell ref="A67:F67"/>
    <mergeCell ref="A68:H68"/>
    <mergeCell ref="A69:H69"/>
    <mergeCell ref="A70:H70"/>
    <mergeCell ref="A71:H71"/>
    <mergeCell ref="A2:H2"/>
    <mergeCell ref="A3:H3"/>
    <mergeCell ref="A4:H4"/>
    <mergeCell ref="A5:H5"/>
    <mergeCell ref="A1:F1"/>
    <mergeCell ref="A34:F34"/>
    <mergeCell ref="A35:H35"/>
    <mergeCell ref="A36:H36"/>
    <mergeCell ref="A37:H37"/>
    <mergeCell ref="A38:H38"/>
  </mergeCells>
  <pageMargins left="0.3" right="0" top="0.3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"/>
  <sheetViews>
    <sheetView topLeftCell="A102" workbookViewId="0">
      <selection activeCell="A112" sqref="A112:E112"/>
    </sheetView>
  </sheetViews>
  <sheetFormatPr defaultRowHeight="15" x14ac:dyDescent="0.25"/>
  <cols>
    <col min="1" max="1" width="9.28515625" style="1" customWidth="1"/>
    <col min="2" max="3" width="20.140625" style="1" customWidth="1"/>
    <col min="4" max="4" width="14.85546875" style="1" customWidth="1"/>
    <col min="5" max="5" width="13.28515625" style="1" customWidth="1"/>
    <col min="6" max="6" width="19.85546875" style="1" customWidth="1"/>
    <col min="7" max="16384" width="9.140625" style="1"/>
  </cols>
  <sheetData>
    <row r="1" spans="1:6" s="3" customFormat="1" ht="27.75" customHeight="1" x14ac:dyDescent="0.25">
      <c r="A1" s="63" t="s">
        <v>14</v>
      </c>
      <c r="B1" s="63"/>
      <c r="C1" s="63"/>
      <c r="D1" s="63"/>
    </row>
    <row r="2" spans="1:6" ht="28.5" customHeight="1" x14ac:dyDescent="0.25">
      <c r="A2" s="67" t="s">
        <v>9</v>
      </c>
      <c r="B2" s="67"/>
      <c r="C2" s="67"/>
      <c r="D2" s="67"/>
      <c r="E2" s="67"/>
      <c r="F2" s="67"/>
    </row>
    <row r="3" spans="1:6" s="3" customFormat="1" ht="24" customHeight="1" x14ac:dyDescent="0.25">
      <c r="A3" s="65" t="s">
        <v>24</v>
      </c>
      <c r="B3" s="65"/>
      <c r="C3" s="65"/>
      <c r="D3" s="65"/>
      <c r="E3" s="65"/>
      <c r="F3" s="65"/>
    </row>
    <row r="4" spans="1:6" s="3" customFormat="1" ht="24" customHeight="1" x14ac:dyDescent="0.25">
      <c r="A4" s="65" t="s">
        <v>52</v>
      </c>
      <c r="B4" s="65"/>
      <c r="C4" s="65"/>
      <c r="D4" s="65"/>
      <c r="E4" s="65"/>
      <c r="F4" s="65"/>
    </row>
    <row r="5" spans="1:6" s="3" customFormat="1" ht="24" customHeight="1" x14ac:dyDescent="0.25">
      <c r="A5" s="65" t="s">
        <v>39</v>
      </c>
      <c r="B5" s="65"/>
      <c r="C5" s="65"/>
      <c r="D5" s="65"/>
      <c r="E5" s="65"/>
      <c r="F5" s="65"/>
    </row>
    <row r="6" spans="1:6" s="3" customFormat="1" ht="24" customHeight="1" x14ac:dyDescent="0.25">
      <c r="A6" s="16"/>
      <c r="B6" s="16"/>
      <c r="C6" s="16"/>
      <c r="D6" s="16"/>
      <c r="E6" s="16"/>
      <c r="F6" s="16"/>
    </row>
    <row r="7" spans="1:6" s="3" customFormat="1" ht="38.25" customHeight="1" x14ac:dyDescent="0.25">
      <c r="A7" s="4" t="s">
        <v>0</v>
      </c>
      <c r="B7" s="4" t="s">
        <v>1</v>
      </c>
      <c r="C7" s="4" t="s">
        <v>34</v>
      </c>
      <c r="D7" s="5" t="s">
        <v>6</v>
      </c>
      <c r="E7" s="4" t="s">
        <v>2</v>
      </c>
      <c r="F7" s="4" t="s">
        <v>10</v>
      </c>
    </row>
    <row r="8" spans="1:6" s="3" customFormat="1" ht="20.25" customHeight="1" x14ac:dyDescent="0.25">
      <c r="A8" s="6">
        <v>1</v>
      </c>
      <c r="B8" s="6" t="s">
        <v>55</v>
      </c>
      <c r="C8" s="30" t="s">
        <v>35</v>
      </c>
      <c r="D8" s="30">
        <v>4</v>
      </c>
      <c r="E8" s="30" t="s">
        <v>19</v>
      </c>
      <c r="F8" s="9"/>
    </row>
    <row r="9" spans="1:6" s="3" customFormat="1" ht="20.25" customHeight="1" x14ac:dyDescent="0.25">
      <c r="A9" s="6">
        <v>2</v>
      </c>
      <c r="B9" s="6" t="s">
        <v>56</v>
      </c>
      <c r="C9" s="7" t="s">
        <v>35</v>
      </c>
      <c r="D9" s="6">
        <v>4</v>
      </c>
      <c r="E9" s="6" t="s">
        <v>19</v>
      </c>
      <c r="F9" s="9"/>
    </row>
    <row r="10" spans="1:6" s="3" customFormat="1" ht="20.25" customHeight="1" x14ac:dyDescent="0.25">
      <c r="A10" s="6">
        <v>3</v>
      </c>
      <c r="B10" s="6" t="s">
        <v>57</v>
      </c>
      <c r="C10" s="7" t="s">
        <v>35</v>
      </c>
      <c r="D10" s="6">
        <v>4</v>
      </c>
      <c r="E10" s="6" t="s">
        <v>19</v>
      </c>
      <c r="F10" s="9"/>
    </row>
    <row r="11" spans="1:6" s="3" customFormat="1" ht="20.25" customHeight="1" x14ac:dyDescent="0.25">
      <c r="A11" s="6">
        <v>4</v>
      </c>
      <c r="B11" s="7" t="s">
        <v>18</v>
      </c>
      <c r="C11" s="7" t="s">
        <v>35</v>
      </c>
      <c r="D11" s="6">
        <v>4</v>
      </c>
      <c r="E11" s="6" t="s">
        <v>19</v>
      </c>
      <c r="F11" s="9"/>
    </row>
    <row r="12" spans="1:6" s="3" customFormat="1" ht="20.25" customHeight="1" x14ac:dyDescent="0.25">
      <c r="A12" s="6">
        <v>5</v>
      </c>
      <c r="B12" s="7" t="s">
        <v>20</v>
      </c>
      <c r="C12" s="7" t="s">
        <v>35</v>
      </c>
      <c r="D12" s="6">
        <v>4</v>
      </c>
      <c r="E12" s="6" t="s">
        <v>19</v>
      </c>
      <c r="F12" s="9"/>
    </row>
    <row r="13" spans="1:6" s="3" customFormat="1" ht="20.25" customHeight="1" x14ac:dyDescent="0.25">
      <c r="A13" s="6">
        <v>6</v>
      </c>
      <c r="B13" s="40" t="s">
        <v>21</v>
      </c>
      <c r="C13" s="37" t="s">
        <v>35</v>
      </c>
      <c r="D13" s="36">
        <v>4</v>
      </c>
      <c r="E13" s="36" t="s">
        <v>19</v>
      </c>
      <c r="F13" s="9"/>
    </row>
    <row r="14" spans="1:6" s="3" customFormat="1" ht="20.25" customHeight="1" x14ac:dyDescent="0.25">
      <c r="A14" s="6">
        <v>7</v>
      </c>
      <c r="B14" s="7" t="s">
        <v>23</v>
      </c>
      <c r="C14" s="7" t="s">
        <v>35</v>
      </c>
      <c r="D14" s="6">
        <v>8</v>
      </c>
      <c r="E14" s="6" t="s">
        <v>19</v>
      </c>
      <c r="F14" s="9"/>
    </row>
    <row r="15" spans="1:6" s="3" customFormat="1" ht="20.25" customHeight="1" x14ac:dyDescent="0.25">
      <c r="A15" s="6">
        <v>8</v>
      </c>
      <c r="B15" s="11">
        <v>46360</v>
      </c>
      <c r="C15" s="7" t="s">
        <v>35</v>
      </c>
      <c r="D15" s="6">
        <v>4</v>
      </c>
      <c r="E15" s="6" t="s">
        <v>19</v>
      </c>
      <c r="F15" s="9"/>
    </row>
    <row r="16" spans="1:6" s="3" customFormat="1" ht="20.25" customHeight="1" x14ac:dyDescent="0.25">
      <c r="A16" s="6">
        <v>9</v>
      </c>
      <c r="B16" s="6" t="s">
        <v>27</v>
      </c>
      <c r="C16" s="7" t="s">
        <v>35</v>
      </c>
      <c r="D16" s="6">
        <v>4</v>
      </c>
      <c r="E16" s="6" t="s">
        <v>19</v>
      </c>
      <c r="F16" s="9"/>
    </row>
    <row r="17" spans="1:6" s="3" customFormat="1" ht="20.25" customHeight="1" x14ac:dyDescent="0.25">
      <c r="A17" s="6">
        <v>10</v>
      </c>
      <c r="B17" s="6" t="s">
        <v>28</v>
      </c>
      <c r="C17" s="7" t="s">
        <v>35</v>
      </c>
      <c r="D17" s="6">
        <v>4</v>
      </c>
      <c r="E17" s="6" t="s">
        <v>19</v>
      </c>
      <c r="F17" s="9"/>
    </row>
    <row r="18" spans="1:6" s="3" customFormat="1" ht="20.25" customHeight="1" x14ac:dyDescent="0.25">
      <c r="A18" s="6">
        <v>11</v>
      </c>
      <c r="B18" s="6" t="s">
        <v>29</v>
      </c>
      <c r="C18" s="7" t="s">
        <v>35</v>
      </c>
      <c r="D18" s="6">
        <v>4</v>
      </c>
      <c r="E18" s="6" t="s">
        <v>19</v>
      </c>
      <c r="F18" s="9"/>
    </row>
    <row r="19" spans="1:6" s="3" customFormat="1" ht="20.25" customHeight="1" x14ac:dyDescent="0.25">
      <c r="A19" s="6">
        <v>12</v>
      </c>
      <c r="B19" s="6" t="s">
        <v>30</v>
      </c>
      <c r="C19" s="7" t="s">
        <v>35</v>
      </c>
      <c r="D19" s="6">
        <v>4</v>
      </c>
      <c r="E19" s="6" t="s">
        <v>19</v>
      </c>
      <c r="F19" s="9"/>
    </row>
    <row r="20" spans="1:6" s="3" customFormat="1" ht="20.25" customHeight="1" x14ac:dyDescent="0.25">
      <c r="A20" s="6">
        <v>13</v>
      </c>
      <c r="B20" s="6" t="s">
        <v>31</v>
      </c>
      <c r="C20" s="7" t="s">
        <v>35</v>
      </c>
      <c r="D20" s="6">
        <v>4</v>
      </c>
      <c r="E20" s="6" t="s">
        <v>19</v>
      </c>
      <c r="F20" s="9"/>
    </row>
    <row r="21" spans="1:6" s="3" customFormat="1" ht="20.25" customHeight="1" x14ac:dyDescent="0.25">
      <c r="A21" s="6">
        <v>14</v>
      </c>
      <c r="B21" s="6" t="s">
        <v>32</v>
      </c>
      <c r="C21" s="7" t="s">
        <v>35</v>
      </c>
      <c r="D21" s="6">
        <v>4</v>
      </c>
      <c r="E21" s="6" t="s">
        <v>19</v>
      </c>
      <c r="F21" s="9"/>
    </row>
    <row r="22" spans="1:6" s="3" customFormat="1" ht="20.25" customHeight="1" x14ac:dyDescent="0.25">
      <c r="A22" s="6">
        <v>15</v>
      </c>
      <c r="B22" s="6" t="s">
        <v>33</v>
      </c>
      <c r="C22" s="7" t="s">
        <v>35</v>
      </c>
      <c r="D22" s="6">
        <v>4</v>
      </c>
      <c r="E22" s="6" t="s">
        <v>19</v>
      </c>
      <c r="F22" s="9"/>
    </row>
    <row r="23" spans="1:6" s="3" customFormat="1" ht="20.25" customHeight="1" x14ac:dyDescent="0.25">
      <c r="A23" s="6">
        <v>16</v>
      </c>
      <c r="B23" s="6" t="s">
        <v>38</v>
      </c>
      <c r="C23" s="7" t="s">
        <v>35</v>
      </c>
      <c r="D23" s="6">
        <v>4</v>
      </c>
      <c r="E23" s="6" t="s">
        <v>19</v>
      </c>
      <c r="F23" s="9"/>
    </row>
    <row r="24" spans="1:6" s="3" customFormat="1" ht="20.25" customHeight="1" x14ac:dyDescent="0.25">
      <c r="A24" s="6">
        <v>17</v>
      </c>
      <c r="B24" s="6" t="s">
        <v>38</v>
      </c>
      <c r="C24" s="7" t="s">
        <v>35</v>
      </c>
      <c r="D24" s="6">
        <v>4</v>
      </c>
      <c r="E24" s="6" t="s">
        <v>19</v>
      </c>
      <c r="F24" s="9"/>
    </row>
    <row r="25" spans="1:6" s="3" customFormat="1" ht="20.25" customHeight="1" x14ac:dyDescent="0.25">
      <c r="A25" s="6">
        <v>18</v>
      </c>
      <c r="B25" s="6" t="s">
        <v>58</v>
      </c>
      <c r="C25" s="7" t="s">
        <v>35</v>
      </c>
      <c r="D25" s="6">
        <v>4</v>
      </c>
      <c r="E25" s="6" t="s">
        <v>19</v>
      </c>
      <c r="F25" s="9"/>
    </row>
    <row r="26" spans="1:6" s="3" customFormat="1" ht="20.25" customHeight="1" x14ac:dyDescent="0.25">
      <c r="A26" s="6">
        <v>19</v>
      </c>
      <c r="B26" s="30" t="s">
        <v>55</v>
      </c>
      <c r="C26" s="30" t="s">
        <v>59</v>
      </c>
      <c r="D26" s="30">
        <v>4</v>
      </c>
      <c r="E26" s="30" t="s">
        <v>19</v>
      </c>
      <c r="F26" s="9"/>
    </row>
    <row r="27" spans="1:6" s="3" customFormat="1" ht="20.25" customHeight="1" x14ac:dyDescent="0.25">
      <c r="A27" s="6">
        <v>20</v>
      </c>
      <c r="B27" s="30" t="s">
        <v>61</v>
      </c>
      <c r="C27" s="30" t="s">
        <v>36</v>
      </c>
      <c r="D27" s="30">
        <v>4</v>
      </c>
      <c r="E27" s="30" t="s">
        <v>19</v>
      </c>
      <c r="F27" s="9"/>
    </row>
    <row r="28" spans="1:6" s="3" customFormat="1" ht="20.25" customHeight="1" x14ac:dyDescent="0.25">
      <c r="A28" s="6">
        <v>21</v>
      </c>
      <c r="B28" s="29" t="s">
        <v>22</v>
      </c>
      <c r="C28" s="30" t="s">
        <v>36</v>
      </c>
      <c r="D28" s="30">
        <v>4</v>
      </c>
      <c r="E28" s="30" t="s">
        <v>19</v>
      </c>
      <c r="F28" s="9"/>
    </row>
    <row r="29" spans="1:6" s="3" customFormat="1" ht="20.25" customHeight="1" x14ac:dyDescent="0.25">
      <c r="A29" s="6">
        <v>22</v>
      </c>
      <c r="B29" s="30" t="s">
        <v>38</v>
      </c>
      <c r="C29" s="30" t="s">
        <v>36</v>
      </c>
      <c r="D29" s="30">
        <v>4</v>
      </c>
      <c r="E29" s="30" t="s">
        <v>19</v>
      </c>
      <c r="F29" s="9"/>
    </row>
    <row r="30" spans="1:6" s="3" customFormat="1" ht="24" customHeight="1" x14ac:dyDescent="0.25"/>
    <row r="31" spans="1:6" s="3" customFormat="1" ht="28.5" customHeight="1" x14ac:dyDescent="0.25">
      <c r="E31" s="64" t="s">
        <v>4</v>
      </c>
      <c r="F31" s="64"/>
    </row>
    <row r="32" spans="1:6" s="3" customFormat="1" ht="16.5" x14ac:dyDescent="0.25"/>
    <row r="33" spans="1:6" s="3" customFormat="1" ht="16.5" x14ac:dyDescent="0.25"/>
    <row r="34" spans="1:6" s="3" customFormat="1" ht="16.5" x14ac:dyDescent="0.25"/>
    <row r="35" spans="1:6" s="3" customFormat="1" ht="16.5" x14ac:dyDescent="0.25"/>
    <row r="38" spans="1:6" s="3" customFormat="1" ht="27.75" customHeight="1" x14ac:dyDescent="0.25">
      <c r="A38" s="63" t="s">
        <v>14</v>
      </c>
      <c r="B38" s="63"/>
      <c r="C38" s="63"/>
      <c r="D38" s="63"/>
    </row>
    <row r="39" spans="1:6" ht="28.5" customHeight="1" x14ac:dyDescent="0.25">
      <c r="A39" s="67" t="s">
        <v>9</v>
      </c>
      <c r="B39" s="67"/>
      <c r="C39" s="67"/>
      <c r="D39" s="67"/>
      <c r="E39" s="67"/>
      <c r="F39" s="67"/>
    </row>
    <row r="40" spans="1:6" s="3" customFormat="1" ht="24" customHeight="1" x14ac:dyDescent="0.25">
      <c r="A40" s="65" t="s">
        <v>24</v>
      </c>
      <c r="B40" s="65"/>
      <c r="C40" s="65"/>
      <c r="D40" s="65"/>
      <c r="E40" s="65"/>
      <c r="F40" s="65"/>
    </row>
    <row r="41" spans="1:6" s="3" customFormat="1" ht="24" customHeight="1" x14ac:dyDescent="0.25">
      <c r="A41" s="65" t="s">
        <v>52</v>
      </c>
      <c r="B41" s="65"/>
      <c r="C41" s="65"/>
      <c r="D41" s="65"/>
      <c r="E41" s="65"/>
      <c r="F41" s="65"/>
    </row>
    <row r="42" spans="1:6" s="3" customFormat="1" ht="24" customHeight="1" x14ac:dyDescent="0.25">
      <c r="A42" s="65" t="s">
        <v>53</v>
      </c>
      <c r="B42" s="65"/>
      <c r="C42" s="65"/>
      <c r="D42" s="65"/>
      <c r="E42" s="65"/>
      <c r="F42" s="65"/>
    </row>
    <row r="43" spans="1:6" s="3" customFormat="1" ht="24" customHeight="1" x14ac:dyDescent="0.25">
      <c r="A43" s="27"/>
      <c r="B43" s="27"/>
      <c r="C43" s="27"/>
      <c r="D43" s="27"/>
      <c r="E43" s="27"/>
      <c r="F43" s="27"/>
    </row>
    <row r="44" spans="1:6" s="3" customFormat="1" ht="38.25" customHeight="1" x14ac:dyDescent="0.25">
      <c r="A44" s="4" t="s">
        <v>0</v>
      </c>
      <c r="B44" s="4" t="s">
        <v>1</v>
      </c>
      <c r="C44" s="4" t="s">
        <v>34</v>
      </c>
      <c r="D44" s="5" t="s">
        <v>6</v>
      </c>
      <c r="E44" s="4" t="s">
        <v>2</v>
      </c>
      <c r="F44" s="4" t="s">
        <v>10</v>
      </c>
    </row>
    <row r="45" spans="1:6" s="3" customFormat="1" ht="27.75" customHeight="1" x14ac:dyDescent="0.25">
      <c r="A45" s="6">
        <v>1</v>
      </c>
      <c r="B45" s="7" t="s">
        <v>48</v>
      </c>
      <c r="C45" s="29" t="s">
        <v>36</v>
      </c>
      <c r="D45" s="8">
        <v>4</v>
      </c>
      <c r="E45" s="8" t="s">
        <v>19</v>
      </c>
      <c r="F45" s="9"/>
    </row>
    <row r="46" spans="1:6" s="3" customFormat="1" ht="27.75" customHeight="1" x14ac:dyDescent="0.25">
      <c r="A46" s="6">
        <v>2</v>
      </c>
      <c r="B46" s="7" t="s">
        <v>48</v>
      </c>
      <c r="C46" s="7" t="s">
        <v>50</v>
      </c>
      <c r="D46" s="8">
        <v>4</v>
      </c>
      <c r="E46" s="8" t="s">
        <v>19</v>
      </c>
      <c r="F46" s="9"/>
    </row>
    <row r="47" spans="1:6" s="3" customFormat="1" ht="27.75" customHeight="1" x14ac:dyDescent="0.25">
      <c r="A47" s="6">
        <v>3</v>
      </c>
      <c r="B47" s="7" t="s">
        <v>51</v>
      </c>
      <c r="C47" s="7" t="s">
        <v>35</v>
      </c>
      <c r="D47" s="8">
        <v>4</v>
      </c>
      <c r="E47" s="8" t="s">
        <v>19</v>
      </c>
      <c r="F47" s="9"/>
    </row>
    <row r="48" spans="1:6" s="3" customFormat="1" ht="27.75" customHeight="1" x14ac:dyDescent="0.25">
      <c r="A48" s="6">
        <v>4</v>
      </c>
      <c r="B48" s="10" t="s">
        <v>70</v>
      </c>
      <c r="C48" s="7" t="s">
        <v>35</v>
      </c>
      <c r="D48" s="6">
        <v>4</v>
      </c>
      <c r="E48" s="8" t="s">
        <v>19</v>
      </c>
      <c r="F48" s="9"/>
    </row>
    <row r="49" spans="1:6" s="3" customFormat="1" ht="27.75" customHeight="1" x14ac:dyDescent="0.25">
      <c r="A49" s="6">
        <v>5</v>
      </c>
      <c r="B49" s="7" t="s">
        <v>71</v>
      </c>
      <c r="C49" s="7" t="s">
        <v>35</v>
      </c>
      <c r="D49" s="6">
        <v>4</v>
      </c>
      <c r="E49" s="8" t="s">
        <v>19</v>
      </c>
      <c r="F49" s="9"/>
    </row>
    <row r="50" spans="1:6" s="3" customFormat="1" ht="27.75" customHeight="1" x14ac:dyDescent="0.25">
      <c r="A50" s="6">
        <v>6</v>
      </c>
      <c r="B50" s="10" t="s">
        <v>72</v>
      </c>
      <c r="C50" s="7" t="s">
        <v>35</v>
      </c>
      <c r="D50" s="6">
        <v>4</v>
      </c>
      <c r="E50" s="8" t="s">
        <v>19</v>
      </c>
      <c r="F50" s="9"/>
    </row>
    <row r="51" spans="1:6" s="3" customFormat="1" ht="27.75" customHeight="1" x14ac:dyDescent="0.25">
      <c r="A51" s="6">
        <v>7</v>
      </c>
      <c r="B51" s="44">
        <v>46331</v>
      </c>
      <c r="C51" s="29" t="s">
        <v>36</v>
      </c>
      <c r="D51" s="6">
        <v>4</v>
      </c>
      <c r="E51" s="8" t="s">
        <v>19</v>
      </c>
      <c r="F51" s="9"/>
    </row>
    <row r="52" spans="1:6" s="3" customFormat="1" ht="27.75" customHeight="1" x14ac:dyDescent="0.25">
      <c r="A52" s="6">
        <v>8</v>
      </c>
      <c r="B52" s="11">
        <v>46361</v>
      </c>
      <c r="C52" s="7" t="s">
        <v>35</v>
      </c>
      <c r="D52" s="6">
        <v>4</v>
      </c>
      <c r="E52" s="8" t="s">
        <v>19</v>
      </c>
      <c r="F52" s="9"/>
    </row>
    <row r="53" spans="1:6" s="3" customFormat="1" ht="27.75" customHeight="1" x14ac:dyDescent="0.25">
      <c r="A53" s="6">
        <v>9</v>
      </c>
      <c r="B53" s="6" t="s">
        <v>75</v>
      </c>
      <c r="C53" s="7" t="s">
        <v>35</v>
      </c>
      <c r="D53" s="6">
        <v>4</v>
      </c>
      <c r="E53" s="8" t="s">
        <v>19</v>
      </c>
      <c r="F53" s="9"/>
    </row>
    <row r="54" spans="1:6" s="3" customFormat="1" ht="27.75" customHeight="1" x14ac:dyDescent="0.25">
      <c r="A54" s="6">
        <v>10</v>
      </c>
      <c r="B54" s="6" t="s">
        <v>76</v>
      </c>
      <c r="C54" s="7" t="s">
        <v>35</v>
      </c>
      <c r="D54" s="6">
        <v>4</v>
      </c>
      <c r="E54" s="8" t="s">
        <v>19</v>
      </c>
      <c r="F54" s="9"/>
    </row>
    <row r="55" spans="1:6" s="3" customFormat="1" ht="27.75" customHeight="1" x14ac:dyDescent="0.25">
      <c r="A55" s="6"/>
      <c r="B55" s="8"/>
      <c r="C55" s="7"/>
      <c r="D55" s="8"/>
      <c r="E55" s="8"/>
      <c r="F55" s="9"/>
    </row>
    <row r="56" spans="1:6" s="3" customFormat="1" ht="27.75" customHeight="1" x14ac:dyDescent="0.25">
      <c r="A56" s="6"/>
      <c r="B56" s="8"/>
      <c r="C56" s="7"/>
      <c r="D56" s="8"/>
      <c r="E56" s="8"/>
      <c r="F56" s="9"/>
    </row>
    <row r="57" spans="1:6" s="3" customFormat="1" ht="27.75" customHeight="1" x14ac:dyDescent="0.25">
      <c r="A57" s="6"/>
      <c r="B57" s="6"/>
      <c r="C57" s="7"/>
      <c r="D57" s="8"/>
      <c r="E57" s="8"/>
      <c r="F57" s="9"/>
    </row>
    <row r="58" spans="1:6" s="3" customFormat="1" ht="27.75" customHeight="1" x14ac:dyDescent="0.25">
      <c r="A58" s="6"/>
      <c r="B58" s="6"/>
      <c r="C58" s="7"/>
      <c r="D58" s="8"/>
      <c r="E58" s="8"/>
      <c r="F58" s="9"/>
    </row>
    <row r="59" spans="1:6" s="3" customFormat="1" ht="27.75" customHeight="1" x14ac:dyDescent="0.25">
      <c r="A59" s="6"/>
      <c r="B59" s="6"/>
      <c r="C59" s="30"/>
      <c r="D59" s="8"/>
      <c r="E59" s="8"/>
      <c r="F59" s="9"/>
    </row>
    <row r="60" spans="1:6" s="3" customFormat="1" ht="27.75" customHeight="1" x14ac:dyDescent="0.25">
      <c r="A60" s="6"/>
      <c r="B60" s="6"/>
      <c r="C60" s="7"/>
      <c r="D60" s="8"/>
      <c r="E60" s="8"/>
      <c r="F60" s="9"/>
    </row>
    <row r="61" spans="1:6" s="3" customFormat="1" ht="27.75" customHeight="1" x14ac:dyDescent="0.25">
      <c r="A61" s="6"/>
      <c r="B61" s="6"/>
      <c r="C61" s="7"/>
      <c r="D61" s="8"/>
      <c r="E61" s="8"/>
      <c r="F61" s="9"/>
    </row>
    <row r="62" spans="1:6" s="3" customFormat="1" ht="24" customHeight="1" x14ac:dyDescent="0.25"/>
    <row r="63" spans="1:6" s="3" customFormat="1" ht="16.5" x14ac:dyDescent="0.25">
      <c r="E63" s="66" t="s">
        <v>4</v>
      </c>
      <c r="F63" s="66"/>
    </row>
    <row r="72" spans="1:6" s="3" customFormat="1" ht="27.75" customHeight="1" x14ac:dyDescent="0.25">
      <c r="A72" s="63" t="s">
        <v>14</v>
      </c>
      <c r="B72" s="63"/>
      <c r="C72" s="63"/>
      <c r="D72" s="63"/>
    </row>
    <row r="73" spans="1:6" ht="28.5" customHeight="1" x14ac:dyDescent="0.25">
      <c r="A73" s="67" t="s">
        <v>9</v>
      </c>
      <c r="B73" s="67"/>
      <c r="C73" s="67"/>
      <c r="D73" s="67"/>
      <c r="E73" s="67"/>
      <c r="F73" s="67"/>
    </row>
    <row r="74" spans="1:6" s="3" customFormat="1" ht="24" customHeight="1" x14ac:dyDescent="0.25">
      <c r="A74" s="65" t="s">
        <v>24</v>
      </c>
      <c r="B74" s="65"/>
      <c r="C74" s="65"/>
      <c r="D74" s="65"/>
      <c r="E74" s="65"/>
      <c r="F74" s="65"/>
    </row>
    <row r="75" spans="1:6" s="3" customFormat="1" ht="24" customHeight="1" x14ac:dyDescent="0.25">
      <c r="A75" s="65" t="s">
        <v>52</v>
      </c>
      <c r="B75" s="65"/>
      <c r="C75" s="65"/>
      <c r="D75" s="65"/>
      <c r="E75" s="65"/>
      <c r="F75" s="65"/>
    </row>
    <row r="76" spans="1:6" s="3" customFormat="1" ht="24" customHeight="1" x14ac:dyDescent="0.25">
      <c r="A76" s="65" t="s">
        <v>83</v>
      </c>
      <c r="B76" s="65"/>
      <c r="C76" s="65"/>
      <c r="D76" s="65"/>
      <c r="E76" s="65"/>
      <c r="F76" s="65"/>
    </row>
    <row r="77" spans="1:6" s="3" customFormat="1" ht="24" customHeight="1" x14ac:dyDescent="0.25">
      <c r="A77" s="50"/>
      <c r="B77" s="50"/>
      <c r="C77" s="50"/>
      <c r="D77" s="50"/>
      <c r="E77" s="50"/>
      <c r="F77" s="50"/>
    </row>
    <row r="78" spans="1:6" s="3" customFormat="1" ht="38.25" customHeight="1" x14ac:dyDescent="0.25">
      <c r="A78" s="4" t="s">
        <v>0</v>
      </c>
      <c r="B78" s="4" t="s">
        <v>1</v>
      </c>
      <c r="C78" s="4" t="s">
        <v>34</v>
      </c>
      <c r="D78" s="5" t="s">
        <v>6</v>
      </c>
      <c r="E78" s="4" t="s">
        <v>2</v>
      </c>
      <c r="F78" s="4" t="s">
        <v>10</v>
      </c>
    </row>
    <row r="79" spans="1:6" s="3" customFormat="1" ht="27.75" customHeight="1" x14ac:dyDescent="0.25">
      <c r="A79" s="6">
        <v>1</v>
      </c>
      <c r="B79" s="7" t="s">
        <v>81</v>
      </c>
      <c r="C79" s="29" t="s">
        <v>35</v>
      </c>
      <c r="D79" s="6">
        <v>4</v>
      </c>
      <c r="E79" s="6" t="s">
        <v>19</v>
      </c>
      <c r="F79" s="9"/>
    </row>
    <row r="80" spans="1:6" s="3" customFormat="1" ht="27.75" customHeight="1" x14ac:dyDescent="0.25">
      <c r="A80" s="6">
        <v>2</v>
      </c>
      <c r="B80" s="7" t="s">
        <v>82</v>
      </c>
      <c r="C80" s="29" t="s">
        <v>35</v>
      </c>
      <c r="D80" s="6">
        <v>4</v>
      </c>
      <c r="E80" s="6" t="s">
        <v>19</v>
      </c>
      <c r="F80" s="9"/>
    </row>
    <row r="81" spans="1:6" s="3" customFormat="1" ht="27.75" customHeight="1" x14ac:dyDescent="0.25">
      <c r="A81" s="6">
        <v>3</v>
      </c>
      <c r="B81" s="7" t="s">
        <v>86</v>
      </c>
      <c r="C81" s="29" t="s">
        <v>87</v>
      </c>
      <c r="D81" s="45">
        <v>4</v>
      </c>
      <c r="E81" s="6" t="s">
        <v>19</v>
      </c>
      <c r="F81" s="9"/>
    </row>
    <row r="82" spans="1:6" s="3" customFormat="1" ht="27.75" customHeight="1" x14ac:dyDescent="0.25">
      <c r="A82" s="6">
        <v>4</v>
      </c>
      <c r="B82" s="10" t="s">
        <v>86</v>
      </c>
      <c r="C82" s="29" t="s">
        <v>35</v>
      </c>
      <c r="D82" s="6">
        <v>4</v>
      </c>
      <c r="E82" s="30" t="s">
        <v>19</v>
      </c>
      <c r="F82" s="9"/>
    </row>
    <row r="83" spans="1:6" s="3" customFormat="1" ht="27.75" customHeight="1" x14ac:dyDescent="0.25">
      <c r="A83" s="6">
        <v>5</v>
      </c>
      <c r="B83" s="7" t="s">
        <v>88</v>
      </c>
      <c r="C83" s="29" t="s">
        <v>36</v>
      </c>
      <c r="D83" s="6">
        <v>3</v>
      </c>
      <c r="E83" s="6" t="s">
        <v>19</v>
      </c>
      <c r="F83" s="9"/>
    </row>
    <row r="84" spans="1:6" s="3" customFormat="1" ht="27.75" customHeight="1" x14ac:dyDescent="0.25">
      <c r="A84" s="6">
        <v>6</v>
      </c>
      <c r="B84" s="10" t="s">
        <v>89</v>
      </c>
      <c r="C84" s="29" t="s">
        <v>36</v>
      </c>
      <c r="D84" s="6">
        <v>4</v>
      </c>
      <c r="E84" s="6" t="s">
        <v>19</v>
      </c>
      <c r="F84" s="9"/>
    </row>
    <row r="85" spans="1:6" s="3" customFormat="1" ht="27.75" customHeight="1" x14ac:dyDescent="0.25">
      <c r="A85" s="6">
        <v>7</v>
      </c>
      <c r="B85" s="44" t="s">
        <v>91</v>
      </c>
      <c r="C85" s="29" t="s">
        <v>90</v>
      </c>
      <c r="D85" s="6">
        <v>4</v>
      </c>
      <c r="E85" s="6" t="s">
        <v>19</v>
      </c>
      <c r="F85" s="9"/>
    </row>
    <row r="86" spans="1:6" s="3" customFormat="1" ht="27.75" customHeight="1" x14ac:dyDescent="0.25">
      <c r="A86" s="6"/>
      <c r="B86" s="11"/>
      <c r="C86" s="7"/>
      <c r="D86" s="6"/>
      <c r="E86" s="8" t="s">
        <v>19</v>
      </c>
      <c r="F86" s="9"/>
    </row>
    <row r="87" spans="1:6" s="3" customFormat="1" ht="27.75" customHeight="1" x14ac:dyDescent="0.25">
      <c r="A87" s="6"/>
      <c r="B87" s="6"/>
      <c r="C87" s="7"/>
      <c r="D87" s="6"/>
      <c r="E87" s="8" t="s">
        <v>19</v>
      </c>
      <c r="F87" s="9"/>
    </row>
    <row r="88" spans="1:6" s="3" customFormat="1" ht="27.75" customHeight="1" x14ac:dyDescent="0.25">
      <c r="A88" s="6"/>
      <c r="B88" s="6"/>
      <c r="C88" s="7"/>
      <c r="D88" s="6"/>
      <c r="E88" s="8" t="s">
        <v>19</v>
      </c>
      <c r="F88" s="9"/>
    </row>
    <row r="89" spans="1:6" s="3" customFormat="1" ht="27.75" customHeight="1" x14ac:dyDescent="0.25">
      <c r="A89" s="6"/>
      <c r="B89" s="8"/>
      <c r="C89" s="7"/>
      <c r="D89" s="8"/>
      <c r="E89" s="8"/>
      <c r="F89" s="9"/>
    </row>
    <row r="90" spans="1:6" s="3" customFormat="1" ht="27.75" customHeight="1" x14ac:dyDescent="0.25">
      <c r="A90" s="6"/>
      <c r="B90" s="8"/>
      <c r="C90" s="7"/>
      <c r="D90" s="8"/>
      <c r="E90" s="8"/>
      <c r="F90" s="9"/>
    </row>
    <row r="91" spans="1:6" s="3" customFormat="1" ht="27.75" customHeight="1" x14ac:dyDescent="0.25">
      <c r="A91" s="6"/>
      <c r="B91" s="6"/>
      <c r="C91" s="7"/>
      <c r="D91" s="8"/>
      <c r="E91" s="8"/>
      <c r="F91" s="9"/>
    </row>
    <row r="92" spans="1:6" s="3" customFormat="1" ht="27.75" customHeight="1" x14ac:dyDescent="0.25">
      <c r="A92" s="6"/>
      <c r="B92" s="6"/>
      <c r="C92" s="7"/>
      <c r="D92" s="8"/>
      <c r="E92" s="8"/>
      <c r="F92" s="9"/>
    </row>
    <row r="93" spans="1:6" s="3" customFormat="1" ht="27.75" customHeight="1" x14ac:dyDescent="0.25">
      <c r="A93" s="6"/>
      <c r="B93" s="6"/>
      <c r="C93" s="30"/>
      <c r="D93" s="8"/>
      <c r="E93" s="8"/>
      <c r="F93" s="9"/>
    </row>
    <row r="94" spans="1:6" s="3" customFormat="1" ht="27.75" customHeight="1" x14ac:dyDescent="0.25">
      <c r="A94" s="6"/>
      <c r="B94" s="6"/>
      <c r="C94" s="7"/>
      <c r="D94" s="8"/>
      <c r="E94" s="8"/>
      <c r="F94" s="9"/>
    </row>
    <row r="95" spans="1:6" s="3" customFormat="1" ht="27.75" customHeight="1" x14ac:dyDescent="0.25">
      <c r="A95" s="6"/>
      <c r="B95" s="6"/>
      <c r="C95" s="7"/>
      <c r="D95" s="8"/>
      <c r="E95" s="8"/>
      <c r="F95" s="9"/>
    </row>
    <row r="96" spans="1:6" s="3" customFormat="1" ht="24" customHeight="1" x14ac:dyDescent="0.25"/>
    <row r="97" spans="1:6" s="3" customFormat="1" ht="16.5" x14ac:dyDescent="0.25">
      <c r="E97" s="66" t="s">
        <v>4</v>
      </c>
      <c r="F97" s="66"/>
    </row>
    <row r="104" spans="1:6" s="3" customFormat="1" ht="27.75" customHeight="1" x14ac:dyDescent="0.25">
      <c r="A104" s="63" t="s">
        <v>14</v>
      </c>
      <c r="B104" s="63"/>
      <c r="C104" s="63"/>
      <c r="D104" s="63"/>
    </row>
    <row r="105" spans="1:6" ht="28.5" customHeight="1" x14ac:dyDescent="0.25">
      <c r="A105" s="67" t="s">
        <v>9</v>
      </c>
      <c r="B105" s="67"/>
      <c r="C105" s="67"/>
      <c r="D105" s="67"/>
      <c r="E105" s="67"/>
      <c r="F105" s="67"/>
    </row>
    <row r="106" spans="1:6" s="3" customFormat="1" ht="24" customHeight="1" x14ac:dyDescent="0.25">
      <c r="A106" s="65" t="s">
        <v>24</v>
      </c>
      <c r="B106" s="65"/>
      <c r="C106" s="65"/>
      <c r="D106" s="65"/>
      <c r="E106" s="65"/>
      <c r="F106" s="65"/>
    </row>
    <row r="107" spans="1:6" s="3" customFormat="1" ht="24" customHeight="1" x14ac:dyDescent="0.25">
      <c r="A107" s="65" t="s">
        <v>52</v>
      </c>
      <c r="B107" s="65"/>
      <c r="C107" s="65"/>
      <c r="D107" s="65"/>
      <c r="E107" s="65"/>
      <c r="F107" s="65"/>
    </row>
    <row r="108" spans="1:6" s="3" customFormat="1" ht="24" customHeight="1" x14ac:dyDescent="0.25">
      <c r="A108" s="65" t="s">
        <v>95</v>
      </c>
      <c r="B108" s="65"/>
      <c r="C108" s="65"/>
      <c r="D108" s="65"/>
      <c r="E108" s="65"/>
      <c r="F108" s="65"/>
    </row>
    <row r="109" spans="1:6" s="3" customFormat="1" ht="24" customHeight="1" x14ac:dyDescent="0.25">
      <c r="A109" s="53"/>
      <c r="B109" s="53"/>
      <c r="C109" s="53"/>
      <c r="D109" s="53"/>
      <c r="E109" s="53"/>
      <c r="F109" s="53"/>
    </row>
    <row r="110" spans="1:6" s="3" customFormat="1" ht="38.25" customHeight="1" x14ac:dyDescent="0.25">
      <c r="A110" s="4" t="s">
        <v>0</v>
      </c>
      <c r="B110" s="4" t="s">
        <v>1</v>
      </c>
      <c r="C110" s="4" t="s">
        <v>34</v>
      </c>
      <c r="D110" s="5" t="s">
        <v>6</v>
      </c>
      <c r="E110" s="4" t="s">
        <v>2</v>
      </c>
      <c r="F110" s="4" t="s">
        <v>10</v>
      </c>
    </row>
    <row r="111" spans="1:6" s="3" customFormat="1" ht="27.75" customHeight="1" x14ac:dyDescent="0.25">
      <c r="A111" s="6">
        <v>1</v>
      </c>
      <c r="B111" s="7" t="s">
        <v>93</v>
      </c>
      <c r="C111" s="29" t="s">
        <v>35</v>
      </c>
      <c r="D111" s="6">
        <v>4</v>
      </c>
      <c r="E111" s="6" t="s">
        <v>19</v>
      </c>
      <c r="F111" s="9" t="s">
        <v>97</v>
      </c>
    </row>
    <row r="112" spans="1:6" s="3" customFormat="1" ht="27.75" customHeight="1" x14ac:dyDescent="0.25">
      <c r="A112" s="6">
        <v>2</v>
      </c>
      <c r="B112" s="7" t="s">
        <v>101</v>
      </c>
      <c r="C112" s="29" t="s">
        <v>35</v>
      </c>
      <c r="D112" s="6">
        <v>4</v>
      </c>
      <c r="E112" s="6" t="s">
        <v>19</v>
      </c>
      <c r="F112" s="9"/>
    </row>
    <row r="113" spans="1:6" s="3" customFormat="1" ht="27.75" customHeight="1" x14ac:dyDescent="0.25">
      <c r="A113" s="6"/>
      <c r="B113" s="7"/>
      <c r="C113" s="29"/>
      <c r="D113" s="45"/>
      <c r="E113" s="6"/>
      <c r="F113" s="9"/>
    </row>
    <row r="114" spans="1:6" s="3" customFormat="1" ht="27.75" customHeight="1" x14ac:dyDescent="0.25">
      <c r="A114" s="6"/>
      <c r="B114" s="10"/>
      <c r="C114" s="29"/>
      <c r="D114" s="6"/>
      <c r="E114" s="30"/>
      <c r="F114" s="9"/>
    </row>
    <row r="115" spans="1:6" s="3" customFormat="1" ht="27.75" customHeight="1" x14ac:dyDescent="0.25">
      <c r="A115" s="6"/>
      <c r="B115" s="7"/>
      <c r="C115" s="29"/>
      <c r="D115" s="6"/>
      <c r="E115" s="6"/>
      <c r="F115" s="9"/>
    </row>
    <row r="116" spans="1:6" s="3" customFormat="1" ht="27.75" customHeight="1" x14ac:dyDescent="0.25">
      <c r="A116" s="6"/>
      <c r="B116" s="10"/>
      <c r="C116" s="29"/>
      <c r="D116" s="6"/>
      <c r="E116" s="6"/>
      <c r="F116" s="9"/>
    </row>
    <row r="117" spans="1:6" s="3" customFormat="1" ht="27.75" customHeight="1" x14ac:dyDescent="0.25">
      <c r="A117" s="6"/>
      <c r="B117" s="44"/>
      <c r="C117" s="29"/>
      <c r="D117" s="6"/>
      <c r="E117" s="6"/>
      <c r="F117" s="9"/>
    </row>
    <row r="118" spans="1:6" s="3" customFormat="1" ht="27.75" customHeight="1" x14ac:dyDescent="0.25">
      <c r="A118" s="6"/>
      <c r="B118" s="11"/>
      <c r="C118" s="7"/>
      <c r="D118" s="6"/>
      <c r="E118" s="8"/>
      <c r="F118" s="9"/>
    </row>
    <row r="119" spans="1:6" s="3" customFormat="1" ht="27.75" customHeight="1" x14ac:dyDescent="0.25">
      <c r="A119" s="6"/>
      <c r="B119" s="6"/>
      <c r="C119" s="7"/>
      <c r="D119" s="6"/>
      <c r="E119" s="8"/>
      <c r="F119" s="9"/>
    </row>
    <row r="120" spans="1:6" s="3" customFormat="1" ht="27.75" customHeight="1" x14ac:dyDescent="0.25">
      <c r="A120" s="6"/>
      <c r="B120" s="6"/>
      <c r="C120" s="7"/>
      <c r="D120" s="6"/>
      <c r="E120" s="8"/>
      <c r="F120" s="9"/>
    </row>
    <row r="121" spans="1:6" s="3" customFormat="1" ht="27.75" customHeight="1" x14ac:dyDescent="0.25">
      <c r="A121" s="6"/>
      <c r="B121" s="8"/>
      <c r="C121" s="7"/>
      <c r="D121" s="8"/>
      <c r="E121" s="8"/>
      <c r="F121" s="9"/>
    </row>
    <row r="122" spans="1:6" s="3" customFormat="1" ht="27.75" customHeight="1" x14ac:dyDescent="0.25">
      <c r="A122" s="6"/>
      <c r="B122" s="8"/>
      <c r="C122" s="7"/>
      <c r="D122" s="8"/>
      <c r="E122" s="8"/>
      <c r="F122" s="9"/>
    </row>
    <row r="123" spans="1:6" s="3" customFormat="1" ht="27.75" customHeight="1" x14ac:dyDescent="0.25">
      <c r="A123" s="6"/>
      <c r="B123" s="6"/>
      <c r="C123" s="7"/>
      <c r="D123" s="8"/>
      <c r="E123" s="8"/>
      <c r="F123" s="9"/>
    </row>
    <row r="124" spans="1:6" s="3" customFormat="1" ht="27.75" customHeight="1" x14ac:dyDescent="0.25">
      <c r="A124" s="6"/>
      <c r="B124" s="6"/>
      <c r="C124" s="7"/>
      <c r="D124" s="8"/>
      <c r="E124" s="8"/>
      <c r="F124" s="9"/>
    </row>
    <row r="125" spans="1:6" s="3" customFormat="1" ht="27.75" customHeight="1" x14ac:dyDescent="0.25">
      <c r="A125" s="6"/>
      <c r="B125" s="6"/>
      <c r="C125" s="30"/>
      <c r="D125" s="8"/>
      <c r="E125" s="8"/>
      <c r="F125" s="9"/>
    </row>
    <row r="126" spans="1:6" s="3" customFormat="1" ht="27.75" customHeight="1" x14ac:dyDescent="0.25">
      <c r="A126" s="6"/>
      <c r="B126" s="6"/>
      <c r="C126" s="7"/>
      <c r="D126" s="8"/>
      <c r="E126" s="8"/>
      <c r="F126" s="9"/>
    </row>
    <row r="127" spans="1:6" s="3" customFormat="1" ht="27.75" customHeight="1" x14ac:dyDescent="0.25">
      <c r="A127" s="6"/>
      <c r="B127" s="6"/>
      <c r="C127" s="7"/>
      <c r="D127" s="8"/>
      <c r="E127" s="8"/>
      <c r="F127" s="9"/>
    </row>
    <row r="128" spans="1:6" s="3" customFormat="1" ht="24" customHeight="1" x14ac:dyDescent="0.25"/>
    <row r="129" spans="5:6" s="3" customFormat="1" ht="16.5" x14ac:dyDescent="0.25">
      <c r="E129" s="66" t="s">
        <v>4</v>
      </c>
      <c r="F129" s="66"/>
    </row>
  </sheetData>
  <mergeCells count="24">
    <mergeCell ref="E129:F129"/>
    <mergeCell ref="A104:D104"/>
    <mergeCell ref="A105:F105"/>
    <mergeCell ref="A106:F106"/>
    <mergeCell ref="A107:F107"/>
    <mergeCell ref="A108:F108"/>
    <mergeCell ref="E97:F97"/>
    <mergeCell ref="A72:D72"/>
    <mergeCell ref="A73:F73"/>
    <mergeCell ref="A74:F74"/>
    <mergeCell ref="A75:F75"/>
    <mergeCell ref="A76:F76"/>
    <mergeCell ref="E31:F31"/>
    <mergeCell ref="A1:D1"/>
    <mergeCell ref="A2:F2"/>
    <mergeCell ref="A3:F3"/>
    <mergeCell ref="A4:F4"/>
    <mergeCell ref="A5:F5"/>
    <mergeCell ref="E63:F63"/>
    <mergeCell ref="A38:D38"/>
    <mergeCell ref="A39:F39"/>
    <mergeCell ref="A40:F40"/>
    <mergeCell ref="A41:F41"/>
    <mergeCell ref="A42:F42"/>
  </mergeCells>
  <pageMargins left="0.3" right="0" top="0.3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5"/>
  <sheetViews>
    <sheetView tabSelected="1" topLeftCell="A160" workbookViewId="0">
      <selection activeCell="K176" sqref="K176"/>
    </sheetView>
  </sheetViews>
  <sheetFormatPr defaultRowHeight="16.5" x14ac:dyDescent="0.25"/>
  <cols>
    <col min="1" max="1" width="7.28515625" style="3" customWidth="1"/>
    <col min="2" max="2" width="19.140625" style="3" customWidth="1"/>
    <col min="3" max="3" width="19" style="3" customWidth="1"/>
    <col min="4" max="4" width="10" style="3" customWidth="1"/>
    <col min="5" max="5" width="9.140625" style="3" customWidth="1"/>
    <col min="6" max="6" width="14.28515625" style="15" customWidth="1"/>
    <col min="7" max="7" width="17.42578125" style="13" customWidth="1"/>
    <col min="8" max="8" width="11.7109375" style="3" bestFit="1" customWidth="1"/>
    <col min="9" max="10" width="9.140625" style="3"/>
    <col min="11" max="11" width="16.5703125" style="3" customWidth="1"/>
    <col min="12" max="16384" width="9.140625" style="3"/>
  </cols>
  <sheetData>
    <row r="1" spans="1:7" ht="27" customHeight="1" x14ac:dyDescent="0.25">
      <c r="A1" s="63" t="s">
        <v>14</v>
      </c>
      <c r="B1" s="63"/>
      <c r="C1" s="63"/>
      <c r="D1" s="63"/>
      <c r="E1" s="63"/>
    </row>
    <row r="2" spans="1:7" ht="13.5" customHeight="1" x14ac:dyDescent="0.25"/>
    <row r="3" spans="1:7" ht="20.25" customHeight="1" x14ac:dyDescent="0.25">
      <c r="A3" s="64" t="s">
        <v>11</v>
      </c>
      <c r="B3" s="64"/>
      <c r="C3" s="64"/>
      <c r="D3" s="64"/>
      <c r="E3" s="64"/>
      <c r="F3" s="64"/>
      <c r="G3" s="64"/>
    </row>
    <row r="4" spans="1:7" ht="15.75" customHeight="1" x14ac:dyDescent="0.25">
      <c r="A4" s="65" t="s">
        <v>99</v>
      </c>
      <c r="B4" s="65"/>
      <c r="C4" s="65"/>
      <c r="D4" s="65"/>
      <c r="E4" s="65"/>
      <c r="F4" s="65"/>
      <c r="G4" s="65"/>
    </row>
    <row r="5" spans="1:7" ht="15.75" customHeight="1" x14ac:dyDescent="0.25">
      <c r="A5" s="65" t="s">
        <v>54</v>
      </c>
      <c r="B5" s="65"/>
      <c r="C5" s="65"/>
      <c r="D5" s="65"/>
      <c r="E5" s="65"/>
      <c r="F5" s="65"/>
      <c r="G5" s="65"/>
    </row>
    <row r="6" spans="1:7" ht="15.75" customHeight="1" x14ac:dyDescent="0.25">
      <c r="A6" s="63" t="s">
        <v>15</v>
      </c>
      <c r="B6" s="63"/>
      <c r="C6" s="63"/>
      <c r="D6" s="63"/>
      <c r="E6" s="63"/>
      <c r="F6" s="63"/>
      <c r="G6" s="63"/>
    </row>
    <row r="7" spans="1:7" ht="15.75" customHeight="1" x14ac:dyDescent="0.25">
      <c r="A7" s="74" t="s">
        <v>16</v>
      </c>
      <c r="B7" s="74"/>
      <c r="C7" s="74"/>
      <c r="D7" s="74"/>
      <c r="E7" s="74"/>
      <c r="F7" s="74"/>
      <c r="G7" s="74"/>
    </row>
    <row r="8" spans="1:7" ht="15.75" customHeight="1" x14ac:dyDescent="0.25">
      <c r="A8" s="65" t="s">
        <v>17</v>
      </c>
      <c r="B8" s="65"/>
      <c r="C8" s="65"/>
      <c r="D8" s="65"/>
      <c r="E8" s="65"/>
      <c r="F8" s="65"/>
      <c r="G8" s="65"/>
    </row>
    <row r="9" spans="1:7" ht="15.75" customHeight="1" x14ac:dyDescent="0.25">
      <c r="A9" s="74" t="s">
        <v>25</v>
      </c>
      <c r="B9" s="74"/>
      <c r="C9" s="74"/>
      <c r="D9" s="74"/>
      <c r="E9" s="74"/>
      <c r="F9" s="74"/>
      <c r="G9" s="74"/>
    </row>
    <row r="10" spans="1:7" ht="15.75" customHeight="1" x14ac:dyDescent="0.25">
      <c r="A10" s="65" t="s">
        <v>46</v>
      </c>
      <c r="B10" s="65"/>
      <c r="C10" s="65"/>
      <c r="D10" s="65"/>
      <c r="E10" s="65"/>
      <c r="F10" s="65"/>
      <c r="G10" s="65"/>
    </row>
    <row r="11" spans="1:7" ht="15.75" customHeight="1" x14ac:dyDescent="0.25">
      <c r="A11" s="65" t="s">
        <v>63</v>
      </c>
      <c r="B11" s="65"/>
      <c r="C11" s="65"/>
      <c r="D11" s="65"/>
      <c r="E11" s="65"/>
      <c r="F11" s="65"/>
      <c r="G11" s="65"/>
    </row>
    <row r="12" spans="1:7" ht="11.25" customHeight="1" x14ac:dyDescent="0.25">
      <c r="A12" s="68"/>
      <c r="B12" s="68"/>
      <c r="C12" s="68"/>
      <c r="D12" s="68"/>
      <c r="E12" s="68"/>
      <c r="F12" s="68"/>
      <c r="G12" s="68"/>
    </row>
    <row r="13" spans="1:7" ht="34.5" customHeight="1" x14ac:dyDescent="0.25">
      <c r="A13" s="4" t="s">
        <v>0</v>
      </c>
      <c r="B13" s="4" t="s">
        <v>1</v>
      </c>
      <c r="C13" s="4" t="s">
        <v>37</v>
      </c>
      <c r="D13" s="5" t="s">
        <v>6</v>
      </c>
      <c r="E13" s="4" t="s">
        <v>2</v>
      </c>
      <c r="F13" s="14" t="s">
        <v>12</v>
      </c>
      <c r="G13" s="5" t="s">
        <v>13</v>
      </c>
    </row>
    <row r="14" spans="1:7" ht="15.75" customHeight="1" x14ac:dyDescent="0.25">
      <c r="A14" s="4"/>
      <c r="B14" s="19" t="s">
        <v>41</v>
      </c>
      <c r="C14" s="69" t="s">
        <v>60</v>
      </c>
      <c r="D14" s="70"/>
      <c r="E14" s="70"/>
      <c r="F14" s="71"/>
      <c r="G14" s="20">
        <f>91120000+6200000+221000000</f>
        <v>318320000</v>
      </c>
    </row>
    <row r="15" spans="1:7" ht="15.75" customHeight="1" x14ac:dyDescent="0.25">
      <c r="A15" s="6">
        <v>1</v>
      </c>
      <c r="B15" s="6" t="s">
        <v>55</v>
      </c>
      <c r="C15" s="30" t="s">
        <v>35</v>
      </c>
      <c r="D15" s="30">
        <v>4</v>
      </c>
      <c r="E15" s="30" t="s">
        <v>19</v>
      </c>
      <c r="F15" s="31">
        <v>490000</v>
      </c>
      <c r="G15" s="34">
        <f>D15*F15</f>
        <v>1960000</v>
      </c>
    </row>
    <row r="16" spans="1:7" ht="15.75" customHeight="1" x14ac:dyDescent="0.25">
      <c r="A16" s="6">
        <v>2</v>
      </c>
      <c r="B16" s="6" t="s">
        <v>56</v>
      </c>
      <c r="C16" s="7" t="s">
        <v>35</v>
      </c>
      <c r="D16" s="6">
        <v>4</v>
      </c>
      <c r="E16" s="6" t="s">
        <v>19</v>
      </c>
      <c r="F16" s="23">
        <v>490000</v>
      </c>
      <c r="G16" s="33">
        <f t="shared" ref="G16:G17" si="0">D16*F16</f>
        <v>1960000</v>
      </c>
    </row>
    <row r="17" spans="1:7" ht="15.75" customHeight="1" x14ac:dyDescent="0.25">
      <c r="A17" s="6">
        <v>3</v>
      </c>
      <c r="B17" s="6" t="s">
        <v>57</v>
      </c>
      <c r="C17" s="7" t="s">
        <v>35</v>
      </c>
      <c r="D17" s="6">
        <v>4</v>
      </c>
      <c r="E17" s="6" t="s">
        <v>19</v>
      </c>
      <c r="F17" s="23">
        <v>490000</v>
      </c>
      <c r="G17" s="33">
        <f t="shared" si="0"/>
        <v>1960000</v>
      </c>
    </row>
    <row r="18" spans="1:7" ht="15.75" customHeight="1" x14ac:dyDescent="0.25">
      <c r="A18" s="6">
        <v>4</v>
      </c>
      <c r="B18" s="7" t="s">
        <v>18</v>
      </c>
      <c r="C18" s="7" t="s">
        <v>35</v>
      </c>
      <c r="D18" s="6">
        <v>4</v>
      </c>
      <c r="E18" s="6" t="s">
        <v>19</v>
      </c>
      <c r="F18" s="23">
        <v>490000</v>
      </c>
      <c r="G18" s="24">
        <f>D18*F18</f>
        <v>1960000</v>
      </c>
    </row>
    <row r="19" spans="1:7" ht="15.75" customHeight="1" x14ac:dyDescent="0.25">
      <c r="A19" s="6">
        <v>5</v>
      </c>
      <c r="B19" s="7" t="s">
        <v>20</v>
      </c>
      <c r="C19" s="7" t="s">
        <v>35</v>
      </c>
      <c r="D19" s="6">
        <v>4</v>
      </c>
      <c r="E19" s="6" t="s">
        <v>19</v>
      </c>
      <c r="F19" s="23">
        <v>490000</v>
      </c>
      <c r="G19" s="24">
        <f t="shared" ref="G19:G30" si="1">D19*F19</f>
        <v>1960000</v>
      </c>
    </row>
    <row r="20" spans="1:7" s="35" customFormat="1" ht="15.75" customHeight="1" x14ac:dyDescent="0.25">
      <c r="A20" s="6">
        <v>6</v>
      </c>
      <c r="B20" s="40" t="s">
        <v>21</v>
      </c>
      <c r="C20" s="37" t="s">
        <v>35</v>
      </c>
      <c r="D20" s="36">
        <v>4</v>
      </c>
      <c r="E20" s="36" t="s">
        <v>19</v>
      </c>
      <c r="F20" s="38">
        <v>490000</v>
      </c>
      <c r="G20" s="39">
        <f t="shared" si="1"/>
        <v>1960000</v>
      </c>
    </row>
    <row r="21" spans="1:7" ht="15.75" customHeight="1" x14ac:dyDescent="0.25">
      <c r="A21" s="6">
        <v>8</v>
      </c>
      <c r="B21" s="7" t="s">
        <v>23</v>
      </c>
      <c r="C21" s="7" t="s">
        <v>35</v>
      </c>
      <c r="D21" s="6">
        <v>8</v>
      </c>
      <c r="E21" s="6" t="s">
        <v>19</v>
      </c>
      <c r="F21" s="23">
        <v>490000</v>
      </c>
      <c r="G21" s="24">
        <f t="shared" si="1"/>
        <v>3920000</v>
      </c>
    </row>
    <row r="22" spans="1:7" ht="15.75" customHeight="1" x14ac:dyDescent="0.25">
      <c r="A22" s="6">
        <v>9</v>
      </c>
      <c r="B22" s="11">
        <v>46360</v>
      </c>
      <c r="C22" s="7" t="s">
        <v>35</v>
      </c>
      <c r="D22" s="6">
        <v>4</v>
      </c>
      <c r="E22" s="6" t="s">
        <v>19</v>
      </c>
      <c r="F22" s="23">
        <v>490000</v>
      </c>
      <c r="G22" s="24">
        <f t="shared" si="1"/>
        <v>1960000</v>
      </c>
    </row>
    <row r="23" spans="1:7" ht="15.75" customHeight="1" x14ac:dyDescent="0.25">
      <c r="A23" s="6">
        <v>11</v>
      </c>
      <c r="B23" s="6" t="s">
        <v>27</v>
      </c>
      <c r="C23" s="7" t="s">
        <v>35</v>
      </c>
      <c r="D23" s="6">
        <v>4</v>
      </c>
      <c r="E23" s="6" t="s">
        <v>19</v>
      </c>
      <c r="F23" s="23">
        <v>490000</v>
      </c>
      <c r="G23" s="24">
        <f t="shared" si="1"/>
        <v>1960000</v>
      </c>
    </row>
    <row r="24" spans="1:7" ht="15.75" customHeight="1" x14ac:dyDescent="0.25">
      <c r="A24" s="6">
        <v>12</v>
      </c>
      <c r="B24" s="6" t="s">
        <v>28</v>
      </c>
      <c r="C24" s="7" t="s">
        <v>35</v>
      </c>
      <c r="D24" s="6">
        <v>4</v>
      </c>
      <c r="E24" s="6" t="s">
        <v>19</v>
      </c>
      <c r="F24" s="23">
        <v>490000</v>
      </c>
      <c r="G24" s="24">
        <f t="shared" si="1"/>
        <v>1960000</v>
      </c>
    </row>
    <row r="25" spans="1:7" ht="15.75" customHeight="1" x14ac:dyDescent="0.25">
      <c r="A25" s="6">
        <v>13</v>
      </c>
      <c r="B25" s="6" t="s">
        <v>29</v>
      </c>
      <c r="C25" s="7" t="s">
        <v>35</v>
      </c>
      <c r="D25" s="6">
        <v>4</v>
      </c>
      <c r="E25" s="6" t="s">
        <v>19</v>
      </c>
      <c r="F25" s="23">
        <v>490000</v>
      </c>
      <c r="G25" s="24">
        <f t="shared" si="1"/>
        <v>1960000</v>
      </c>
    </row>
    <row r="26" spans="1:7" ht="15.75" customHeight="1" x14ac:dyDescent="0.25">
      <c r="A26" s="6">
        <v>14</v>
      </c>
      <c r="B26" s="6" t="s">
        <v>30</v>
      </c>
      <c r="C26" s="7" t="s">
        <v>35</v>
      </c>
      <c r="D26" s="6">
        <v>4</v>
      </c>
      <c r="E26" s="6" t="s">
        <v>19</v>
      </c>
      <c r="F26" s="23">
        <v>490000</v>
      </c>
      <c r="G26" s="24">
        <f t="shared" si="1"/>
        <v>1960000</v>
      </c>
    </row>
    <row r="27" spans="1:7" ht="15.75" customHeight="1" x14ac:dyDescent="0.25">
      <c r="A27" s="6">
        <v>15</v>
      </c>
      <c r="B27" s="6" t="s">
        <v>31</v>
      </c>
      <c r="C27" s="7" t="s">
        <v>35</v>
      </c>
      <c r="D27" s="6">
        <v>4</v>
      </c>
      <c r="E27" s="6" t="s">
        <v>19</v>
      </c>
      <c r="F27" s="23">
        <v>490000</v>
      </c>
      <c r="G27" s="24">
        <f t="shared" si="1"/>
        <v>1960000</v>
      </c>
    </row>
    <row r="28" spans="1:7" ht="15.75" customHeight="1" x14ac:dyDescent="0.25">
      <c r="A28" s="6">
        <v>16</v>
      </c>
      <c r="B28" s="6" t="s">
        <v>32</v>
      </c>
      <c r="C28" s="7" t="s">
        <v>35</v>
      </c>
      <c r="D28" s="6">
        <v>4</v>
      </c>
      <c r="E28" s="6" t="s">
        <v>19</v>
      </c>
      <c r="F28" s="23">
        <v>490000</v>
      </c>
      <c r="G28" s="24">
        <f t="shared" si="1"/>
        <v>1960000</v>
      </c>
    </row>
    <row r="29" spans="1:7" ht="15.75" customHeight="1" x14ac:dyDescent="0.25">
      <c r="A29" s="6">
        <v>17</v>
      </c>
      <c r="B29" s="6" t="s">
        <v>33</v>
      </c>
      <c r="C29" s="7" t="s">
        <v>35</v>
      </c>
      <c r="D29" s="6">
        <v>4</v>
      </c>
      <c r="E29" s="6" t="s">
        <v>19</v>
      </c>
      <c r="F29" s="23">
        <v>490000</v>
      </c>
      <c r="G29" s="24">
        <f t="shared" si="1"/>
        <v>1960000</v>
      </c>
    </row>
    <row r="30" spans="1:7" ht="15.75" customHeight="1" x14ac:dyDescent="0.25">
      <c r="A30" s="6">
        <v>18</v>
      </c>
      <c r="B30" s="6" t="s">
        <v>38</v>
      </c>
      <c r="C30" s="7" t="s">
        <v>35</v>
      </c>
      <c r="D30" s="6">
        <v>4</v>
      </c>
      <c r="E30" s="6" t="s">
        <v>19</v>
      </c>
      <c r="F30" s="23">
        <v>490000</v>
      </c>
      <c r="G30" s="24">
        <f t="shared" si="1"/>
        <v>1960000</v>
      </c>
    </row>
    <row r="31" spans="1:7" ht="15.75" customHeight="1" x14ac:dyDescent="0.25">
      <c r="A31" s="6">
        <v>19</v>
      </c>
      <c r="B31" s="6" t="s">
        <v>38</v>
      </c>
      <c r="C31" s="7" t="s">
        <v>35</v>
      </c>
      <c r="D31" s="6">
        <v>4</v>
      </c>
      <c r="E31" s="6" t="s">
        <v>19</v>
      </c>
      <c r="F31" s="23">
        <v>490000</v>
      </c>
      <c r="G31" s="24">
        <f>D31*F31</f>
        <v>1960000</v>
      </c>
    </row>
    <row r="32" spans="1:7" ht="15.75" customHeight="1" x14ac:dyDescent="0.25">
      <c r="A32" s="6">
        <v>20</v>
      </c>
      <c r="B32" s="6" t="s">
        <v>58</v>
      </c>
      <c r="C32" s="7" t="s">
        <v>35</v>
      </c>
      <c r="D32" s="6">
        <v>4</v>
      </c>
      <c r="E32" s="6" t="s">
        <v>19</v>
      </c>
      <c r="F32" s="23">
        <v>490000</v>
      </c>
      <c r="G32" s="24">
        <f t="shared" ref="G32" si="2">D32*F32</f>
        <v>1960000</v>
      </c>
    </row>
    <row r="33" spans="1:16" ht="15.75" customHeight="1" x14ac:dyDescent="0.25">
      <c r="A33" s="6"/>
      <c r="B33" s="75" t="s">
        <v>62</v>
      </c>
      <c r="C33" s="76"/>
      <c r="D33" s="4">
        <f>SUM(D15:D32)</f>
        <v>76</v>
      </c>
      <c r="E33" s="4"/>
      <c r="F33" s="14"/>
      <c r="G33" s="17">
        <f>SUM(G15:G32)</f>
        <v>37240000</v>
      </c>
    </row>
    <row r="34" spans="1:16" s="35" customFormat="1" ht="15.75" customHeight="1" x14ac:dyDescent="0.25">
      <c r="A34" s="30">
        <v>22</v>
      </c>
      <c r="B34" s="30" t="s">
        <v>55</v>
      </c>
      <c r="C34" s="30" t="s">
        <v>59</v>
      </c>
      <c r="D34" s="30">
        <v>4</v>
      </c>
      <c r="E34" s="30" t="s">
        <v>19</v>
      </c>
      <c r="F34" s="31">
        <v>750000</v>
      </c>
      <c r="G34" s="34">
        <f>D34*F34</f>
        <v>3000000</v>
      </c>
    </row>
    <row r="35" spans="1:16" ht="15.75" customHeight="1" x14ac:dyDescent="0.25">
      <c r="A35" s="30">
        <v>23</v>
      </c>
      <c r="B35" s="30" t="s">
        <v>61</v>
      </c>
      <c r="C35" s="30" t="s">
        <v>36</v>
      </c>
      <c r="D35" s="30">
        <v>4</v>
      </c>
      <c r="E35" s="30" t="s">
        <v>19</v>
      </c>
      <c r="F35" s="31">
        <v>750000</v>
      </c>
      <c r="G35" s="34">
        <f t="shared" ref="G35:G37" si="3">D35*F35</f>
        <v>3000000</v>
      </c>
      <c r="P35" s="3">
        <f>148120-140360</f>
        <v>7760</v>
      </c>
    </row>
    <row r="36" spans="1:16" ht="15.75" customHeight="1" x14ac:dyDescent="0.25">
      <c r="A36" s="30">
        <v>24</v>
      </c>
      <c r="B36" s="29" t="s">
        <v>22</v>
      </c>
      <c r="C36" s="30" t="s">
        <v>36</v>
      </c>
      <c r="D36" s="30">
        <v>4</v>
      </c>
      <c r="E36" s="30" t="s">
        <v>19</v>
      </c>
      <c r="F36" s="31">
        <v>750000</v>
      </c>
      <c r="G36" s="32">
        <f t="shared" si="3"/>
        <v>3000000</v>
      </c>
      <c r="P36" s="3">
        <v>7760</v>
      </c>
    </row>
    <row r="37" spans="1:16" ht="15.75" customHeight="1" x14ac:dyDescent="0.25">
      <c r="A37" s="30">
        <v>25</v>
      </c>
      <c r="B37" s="30" t="s">
        <v>38</v>
      </c>
      <c r="C37" s="30" t="s">
        <v>36</v>
      </c>
      <c r="D37" s="30">
        <v>4</v>
      </c>
      <c r="E37" s="30" t="s">
        <v>19</v>
      </c>
      <c r="F37" s="31">
        <v>750000</v>
      </c>
      <c r="G37" s="32">
        <f t="shared" si="3"/>
        <v>3000000</v>
      </c>
      <c r="P37" s="3">
        <f>P35-7760</f>
        <v>0</v>
      </c>
    </row>
    <row r="38" spans="1:16" ht="15.75" customHeight="1" x14ac:dyDescent="0.25">
      <c r="A38" s="30"/>
      <c r="B38" s="77" t="s">
        <v>67</v>
      </c>
      <c r="C38" s="78"/>
      <c r="D38" s="58">
        <f>SUM(D34:D37)</f>
        <v>16</v>
      </c>
      <c r="E38" s="58"/>
      <c r="F38" s="59"/>
      <c r="G38" s="60">
        <f>SUM(G34:G37)</f>
        <v>12000000</v>
      </c>
    </row>
    <row r="39" spans="1:16" ht="15.75" customHeight="1" x14ac:dyDescent="0.25">
      <c r="A39" s="6"/>
      <c r="B39" s="4" t="s">
        <v>43</v>
      </c>
      <c r="C39" s="22" t="s">
        <v>42</v>
      </c>
      <c r="D39" s="18"/>
      <c r="E39" s="21"/>
      <c r="F39" s="21"/>
      <c r="G39" s="17">
        <f>G38+G33</f>
        <v>49240000</v>
      </c>
    </row>
    <row r="40" spans="1:16" ht="15.75" customHeight="1" x14ac:dyDescent="0.25">
      <c r="A40" s="25"/>
      <c r="B40" s="4" t="s">
        <v>44</v>
      </c>
      <c r="C40" s="26" t="s">
        <v>45</v>
      </c>
      <c r="D40" s="25"/>
      <c r="E40" s="25"/>
      <c r="F40" s="25"/>
      <c r="G40" s="17">
        <f>G14+G39</f>
        <v>367560000</v>
      </c>
      <c r="L40" s="3" t="s">
        <v>47</v>
      </c>
    </row>
    <row r="42" spans="1:16" x14ac:dyDescent="0.25">
      <c r="A42" s="72" t="s">
        <v>40</v>
      </c>
      <c r="B42" s="72"/>
      <c r="C42" s="72"/>
      <c r="D42" s="72"/>
      <c r="E42" s="72"/>
      <c r="F42" s="72"/>
      <c r="G42" s="72"/>
    </row>
    <row r="43" spans="1:16" ht="37.5" customHeight="1" x14ac:dyDescent="0.25">
      <c r="A43" s="72"/>
      <c r="B43" s="72"/>
      <c r="C43" s="72"/>
      <c r="D43" s="72"/>
      <c r="E43" s="72"/>
      <c r="F43" s="72"/>
      <c r="G43" s="72"/>
    </row>
    <row r="45" spans="1:16" x14ac:dyDescent="0.25">
      <c r="E45" s="73" t="s">
        <v>68</v>
      </c>
      <c r="F45" s="73"/>
      <c r="G45" s="73"/>
    </row>
    <row r="47" spans="1:16" x14ac:dyDescent="0.25">
      <c r="A47" s="74" t="s">
        <v>74</v>
      </c>
      <c r="B47" s="74"/>
      <c r="C47" s="74"/>
      <c r="D47" s="74"/>
      <c r="E47" s="74"/>
      <c r="F47" s="74"/>
      <c r="G47" s="74"/>
    </row>
    <row r="48" spans="1:16" ht="24" customHeight="1" x14ac:dyDescent="0.25">
      <c r="A48" s="63" t="s">
        <v>14</v>
      </c>
      <c r="B48" s="63"/>
      <c r="C48" s="63"/>
      <c r="D48" s="63"/>
      <c r="E48" s="63"/>
      <c r="G48" s="28"/>
    </row>
    <row r="49" spans="1:7" ht="24" customHeight="1" x14ac:dyDescent="0.25">
      <c r="A49" s="51"/>
      <c r="B49" s="51"/>
      <c r="C49" s="51"/>
      <c r="D49" s="51"/>
      <c r="E49" s="51"/>
      <c r="G49" s="52"/>
    </row>
    <row r="50" spans="1:7" ht="24" customHeight="1" x14ac:dyDescent="0.25">
      <c r="A50" s="51"/>
      <c r="B50" s="51"/>
      <c r="C50" s="51"/>
      <c r="D50" s="51"/>
      <c r="E50" s="51"/>
      <c r="G50" s="52"/>
    </row>
    <row r="51" spans="1:7" ht="24" customHeight="1" x14ac:dyDescent="0.25">
      <c r="A51" s="51"/>
      <c r="B51" s="51"/>
      <c r="C51" s="51"/>
      <c r="D51" s="51"/>
      <c r="E51" s="51"/>
      <c r="G51" s="52"/>
    </row>
    <row r="52" spans="1:7" ht="24" customHeight="1" x14ac:dyDescent="0.25">
      <c r="A52" s="51"/>
      <c r="B52" s="51"/>
      <c r="C52" s="51"/>
      <c r="D52" s="51"/>
      <c r="E52" s="51"/>
      <c r="G52" s="52"/>
    </row>
    <row r="53" spans="1:7" ht="24" customHeight="1" x14ac:dyDescent="0.25">
      <c r="A53" s="51"/>
      <c r="B53" s="51"/>
      <c r="C53" s="51"/>
      <c r="D53" s="51"/>
      <c r="E53" s="51"/>
      <c r="G53" s="52"/>
    </row>
    <row r="54" spans="1:7" x14ac:dyDescent="0.25">
      <c r="G54" s="28"/>
    </row>
    <row r="55" spans="1:7" ht="20.25" customHeight="1" x14ac:dyDescent="0.25">
      <c r="A55" s="64" t="s">
        <v>11</v>
      </c>
      <c r="B55" s="64"/>
      <c r="C55" s="64"/>
      <c r="D55" s="64"/>
      <c r="E55" s="64"/>
      <c r="F55" s="64"/>
      <c r="G55" s="64"/>
    </row>
    <row r="56" spans="1:7" ht="18.75" customHeight="1" x14ac:dyDescent="0.25">
      <c r="A56" s="65" t="s">
        <v>98</v>
      </c>
      <c r="B56" s="65"/>
      <c r="C56" s="65"/>
      <c r="D56" s="65"/>
      <c r="E56" s="65"/>
      <c r="F56" s="65"/>
      <c r="G56" s="65"/>
    </row>
    <row r="57" spans="1:7" ht="18.75" customHeight="1" x14ac:dyDescent="0.25">
      <c r="A57" s="65" t="s">
        <v>54</v>
      </c>
      <c r="B57" s="65"/>
      <c r="C57" s="65"/>
      <c r="D57" s="65"/>
      <c r="E57" s="65"/>
      <c r="F57" s="65"/>
      <c r="G57" s="65"/>
    </row>
    <row r="58" spans="1:7" ht="18.75" customHeight="1" x14ac:dyDescent="0.25">
      <c r="A58" s="63" t="s">
        <v>15</v>
      </c>
      <c r="B58" s="63"/>
      <c r="C58" s="63"/>
      <c r="D58" s="63"/>
      <c r="E58" s="63"/>
      <c r="F58" s="63"/>
      <c r="G58" s="63"/>
    </row>
    <row r="59" spans="1:7" ht="18.75" customHeight="1" x14ac:dyDescent="0.25">
      <c r="A59" s="74" t="s">
        <v>16</v>
      </c>
      <c r="B59" s="74"/>
      <c r="C59" s="74"/>
      <c r="D59" s="74"/>
      <c r="E59" s="74"/>
      <c r="F59" s="74"/>
      <c r="G59" s="74"/>
    </row>
    <row r="60" spans="1:7" ht="18.75" customHeight="1" x14ac:dyDescent="0.25">
      <c r="A60" s="65" t="s">
        <v>17</v>
      </c>
      <c r="B60" s="65"/>
      <c r="C60" s="65"/>
      <c r="D60" s="65"/>
      <c r="E60" s="65"/>
      <c r="F60" s="65"/>
      <c r="G60" s="65"/>
    </row>
    <row r="61" spans="1:7" ht="18.75" customHeight="1" x14ac:dyDescent="0.25">
      <c r="A61" s="74" t="s">
        <v>25</v>
      </c>
      <c r="B61" s="74"/>
      <c r="C61" s="74"/>
      <c r="D61" s="74"/>
      <c r="E61" s="74"/>
      <c r="F61" s="74"/>
      <c r="G61" s="74"/>
    </row>
    <row r="62" spans="1:7" ht="18.75" customHeight="1" x14ac:dyDescent="0.25">
      <c r="A62" s="65" t="s">
        <v>46</v>
      </c>
      <c r="B62" s="65"/>
      <c r="C62" s="65"/>
      <c r="D62" s="65"/>
      <c r="E62" s="65"/>
      <c r="F62" s="65"/>
      <c r="G62" s="65"/>
    </row>
    <row r="63" spans="1:7" ht="18.75" customHeight="1" x14ac:dyDescent="0.25">
      <c r="A63" s="65" t="s">
        <v>65</v>
      </c>
      <c r="B63" s="65"/>
      <c r="C63" s="65"/>
      <c r="D63" s="65"/>
      <c r="E63" s="65"/>
      <c r="F63" s="65"/>
      <c r="G63" s="65"/>
    </row>
    <row r="64" spans="1:7" ht="17.25" customHeight="1" x14ac:dyDescent="0.25">
      <c r="A64" s="68"/>
      <c r="B64" s="68"/>
      <c r="C64" s="68"/>
      <c r="D64" s="68"/>
      <c r="E64" s="68"/>
      <c r="F64" s="68"/>
      <c r="G64" s="68"/>
    </row>
    <row r="65" spans="1:8" ht="32.25" customHeight="1" x14ac:dyDescent="0.25">
      <c r="A65" s="4" t="s">
        <v>0</v>
      </c>
      <c r="B65" s="4" t="s">
        <v>1</v>
      </c>
      <c r="C65" s="4" t="s">
        <v>37</v>
      </c>
      <c r="D65" s="5" t="s">
        <v>6</v>
      </c>
      <c r="E65" s="4" t="s">
        <v>2</v>
      </c>
      <c r="F65" s="14" t="s">
        <v>12</v>
      </c>
      <c r="G65" s="5" t="s">
        <v>13</v>
      </c>
    </row>
    <row r="66" spans="1:8" ht="20.25" customHeight="1" x14ac:dyDescent="0.25">
      <c r="A66" s="19" t="s">
        <v>41</v>
      </c>
      <c r="B66" s="19"/>
      <c r="C66" s="69" t="s">
        <v>73</v>
      </c>
      <c r="D66" s="70"/>
      <c r="E66" s="70"/>
      <c r="F66" s="71"/>
      <c r="G66" s="20">
        <v>367560000</v>
      </c>
    </row>
    <row r="67" spans="1:8" ht="18" customHeight="1" x14ac:dyDescent="0.25">
      <c r="A67" s="6">
        <v>1</v>
      </c>
      <c r="B67" s="7" t="s">
        <v>48</v>
      </c>
      <c r="C67" s="42" t="s">
        <v>36</v>
      </c>
      <c r="D67" s="45">
        <v>4</v>
      </c>
      <c r="E67" s="6" t="s">
        <v>19</v>
      </c>
      <c r="F67" s="23">
        <v>750000</v>
      </c>
      <c r="G67" s="24">
        <f>D67*F67</f>
        <v>3000000</v>
      </c>
    </row>
    <row r="68" spans="1:8" ht="18" customHeight="1" x14ac:dyDescent="0.25">
      <c r="A68" s="6">
        <v>2</v>
      </c>
      <c r="B68" s="7" t="s">
        <v>48</v>
      </c>
      <c r="C68" s="29" t="s">
        <v>50</v>
      </c>
      <c r="D68" s="45">
        <v>2</v>
      </c>
      <c r="E68" s="6" t="s">
        <v>19</v>
      </c>
      <c r="F68" s="23">
        <v>700000</v>
      </c>
      <c r="G68" s="24">
        <f t="shared" ref="G68:G76" si="4">D68*F68</f>
        <v>1400000</v>
      </c>
    </row>
    <row r="69" spans="1:8" ht="18" customHeight="1" x14ac:dyDescent="0.25">
      <c r="A69" s="6">
        <v>3</v>
      </c>
      <c r="B69" s="7" t="s">
        <v>51</v>
      </c>
      <c r="C69" s="29" t="s">
        <v>35</v>
      </c>
      <c r="D69" s="45">
        <v>4</v>
      </c>
      <c r="E69" s="6" t="s">
        <v>19</v>
      </c>
      <c r="F69" s="23">
        <v>490000</v>
      </c>
      <c r="G69" s="24">
        <f t="shared" si="4"/>
        <v>1960000</v>
      </c>
    </row>
    <row r="70" spans="1:8" ht="18" customHeight="1" x14ac:dyDescent="0.25">
      <c r="A70" s="6">
        <v>4</v>
      </c>
      <c r="B70" s="10" t="s">
        <v>70</v>
      </c>
      <c r="C70" s="7" t="s">
        <v>35</v>
      </c>
      <c r="D70" s="6">
        <v>4</v>
      </c>
      <c r="E70" s="30" t="s">
        <v>19</v>
      </c>
      <c r="F70" s="23">
        <v>490000</v>
      </c>
      <c r="G70" s="24">
        <f t="shared" si="4"/>
        <v>1960000</v>
      </c>
    </row>
    <row r="71" spans="1:8" ht="18" customHeight="1" x14ac:dyDescent="0.25">
      <c r="A71" s="6">
        <v>5</v>
      </c>
      <c r="B71" s="7" t="s">
        <v>71</v>
      </c>
      <c r="C71" s="7" t="s">
        <v>35</v>
      </c>
      <c r="D71" s="6">
        <v>4</v>
      </c>
      <c r="E71" s="6" t="s">
        <v>19</v>
      </c>
      <c r="F71" s="23">
        <v>490000</v>
      </c>
      <c r="G71" s="24">
        <f t="shared" si="4"/>
        <v>1960000</v>
      </c>
    </row>
    <row r="72" spans="1:8" ht="18" customHeight="1" x14ac:dyDescent="0.25">
      <c r="A72" s="6">
        <v>6</v>
      </c>
      <c r="B72" s="10" t="s">
        <v>72</v>
      </c>
      <c r="C72" s="7" t="s">
        <v>35</v>
      </c>
      <c r="D72" s="6">
        <v>4</v>
      </c>
      <c r="E72" s="6" t="s">
        <v>19</v>
      </c>
      <c r="F72" s="23">
        <v>490000</v>
      </c>
      <c r="G72" s="24">
        <f t="shared" si="4"/>
        <v>1960000</v>
      </c>
    </row>
    <row r="73" spans="1:8" ht="18" customHeight="1" x14ac:dyDescent="0.25">
      <c r="A73" s="6">
        <v>7</v>
      </c>
      <c r="B73" s="44">
        <v>46331</v>
      </c>
      <c r="C73" s="42" t="s">
        <v>36</v>
      </c>
      <c r="D73" s="6">
        <v>4</v>
      </c>
      <c r="E73" s="6" t="s">
        <v>19</v>
      </c>
      <c r="F73" s="23">
        <v>750000</v>
      </c>
      <c r="G73" s="24">
        <f t="shared" si="4"/>
        <v>3000000</v>
      </c>
      <c r="H73" s="43"/>
    </row>
    <row r="74" spans="1:8" ht="18" customHeight="1" x14ac:dyDescent="0.25">
      <c r="A74" s="6">
        <v>8</v>
      </c>
      <c r="B74" s="11">
        <v>46361</v>
      </c>
      <c r="C74" s="7" t="s">
        <v>35</v>
      </c>
      <c r="D74" s="6">
        <v>4</v>
      </c>
      <c r="E74" s="6" t="s">
        <v>19</v>
      </c>
      <c r="F74" s="23">
        <v>450000</v>
      </c>
      <c r="G74" s="24">
        <f t="shared" si="4"/>
        <v>1800000</v>
      </c>
    </row>
    <row r="75" spans="1:8" ht="18" customHeight="1" x14ac:dyDescent="0.25">
      <c r="A75" s="6">
        <v>9</v>
      </c>
      <c r="B75" s="6" t="s">
        <v>75</v>
      </c>
      <c r="C75" s="7" t="s">
        <v>35</v>
      </c>
      <c r="D75" s="6">
        <v>4</v>
      </c>
      <c r="E75" s="8" t="s">
        <v>19</v>
      </c>
      <c r="F75" s="23">
        <v>450000</v>
      </c>
      <c r="G75" s="24">
        <f t="shared" si="4"/>
        <v>1800000</v>
      </c>
    </row>
    <row r="76" spans="1:8" ht="18" customHeight="1" x14ac:dyDescent="0.25">
      <c r="A76" s="6">
        <v>10</v>
      </c>
      <c r="B76" s="6" t="s">
        <v>76</v>
      </c>
      <c r="C76" s="7" t="s">
        <v>35</v>
      </c>
      <c r="D76" s="6">
        <v>4</v>
      </c>
      <c r="E76" s="8" t="s">
        <v>19</v>
      </c>
      <c r="F76" s="23">
        <v>450000</v>
      </c>
      <c r="G76" s="24">
        <f t="shared" si="4"/>
        <v>1800000</v>
      </c>
    </row>
    <row r="77" spans="1:8" ht="18" customHeight="1" x14ac:dyDescent="0.25">
      <c r="A77" s="6"/>
      <c r="B77" s="6"/>
      <c r="C77" s="7"/>
      <c r="D77" s="6"/>
      <c r="E77" s="6"/>
      <c r="F77" s="23"/>
      <c r="G77" s="24"/>
    </row>
    <row r="78" spans="1:8" ht="18" customHeight="1" x14ac:dyDescent="0.25">
      <c r="A78" s="6"/>
      <c r="B78" s="6"/>
      <c r="C78" s="7"/>
      <c r="D78" s="6"/>
      <c r="E78" s="6"/>
      <c r="F78" s="23"/>
      <c r="G78" s="24"/>
    </row>
    <row r="79" spans="1:8" ht="18" customHeight="1" x14ac:dyDescent="0.25">
      <c r="A79" s="6"/>
      <c r="B79" s="6"/>
      <c r="C79" s="7"/>
      <c r="D79" s="6"/>
      <c r="E79" s="6"/>
      <c r="F79" s="23"/>
      <c r="G79" s="24"/>
    </row>
    <row r="80" spans="1:8" ht="18" customHeight="1" x14ac:dyDescent="0.25">
      <c r="A80" s="6"/>
      <c r="B80" s="6"/>
      <c r="C80" s="7"/>
      <c r="D80" s="6"/>
      <c r="E80" s="6"/>
      <c r="F80" s="23"/>
      <c r="G80" s="24"/>
    </row>
    <row r="81" spans="1:12" ht="18" customHeight="1" x14ac:dyDescent="0.25">
      <c r="A81" s="6"/>
      <c r="B81" s="6"/>
      <c r="C81" s="30"/>
      <c r="D81" s="30"/>
      <c r="E81" s="30"/>
      <c r="F81" s="31"/>
      <c r="G81" s="32"/>
    </row>
    <row r="82" spans="1:12" ht="18" customHeight="1" x14ac:dyDescent="0.25">
      <c r="A82" s="6"/>
      <c r="B82" s="6"/>
      <c r="C82" s="7"/>
      <c r="D82" s="6"/>
      <c r="E82" s="6"/>
      <c r="F82" s="23"/>
      <c r="G82" s="24"/>
    </row>
    <row r="83" spans="1:12" ht="18" customHeight="1" x14ac:dyDescent="0.25">
      <c r="A83" s="6"/>
      <c r="B83" s="6"/>
      <c r="C83" s="7"/>
      <c r="D83" s="6"/>
      <c r="E83" s="6"/>
      <c r="F83" s="23"/>
      <c r="G83" s="24"/>
    </row>
    <row r="84" spans="1:12" ht="18" customHeight="1" x14ac:dyDescent="0.25">
      <c r="A84" s="6"/>
      <c r="B84" s="4" t="s">
        <v>43</v>
      </c>
      <c r="C84" s="47" t="s">
        <v>42</v>
      </c>
      <c r="D84" s="18">
        <f>SUM(D67:D83)</f>
        <v>38</v>
      </c>
      <c r="E84" s="21"/>
      <c r="F84" s="21"/>
      <c r="G84" s="17">
        <f>SUM(G67:G83)</f>
        <v>20640000</v>
      </c>
      <c r="K84" s="46"/>
    </row>
    <row r="85" spans="1:12" ht="18" customHeight="1" x14ac:dyDescent="0.25">
      <c r="A85" s="6"/>
      <c r="B85" s="19" t="s">
        <v>77</v>
      </c>
      <c r="C85" s="55" t="s">
        <v>78</v>
      </c>
      <c r="D85" s="56"/>
      <c r="E85" s="57"/>
      <c r="F85" s="57"/>
      <c r="G85" s="41">
        <v>100000000</v>
      </c>
    </row>
    <row r="86" spans="1:12" ht="18" customHeight="1" x14ac:dyDescent="0.25">
      <c r="A86" s="25"/>
      <c r="B86" s="4" t="s">
        <v>79</v>
      </c>
      <c r="C86" s="49" t="s">
        <v>45</v>
      </c>
      <c r="D86" s="25"/>
      <c r="E86" s="25"/>
      <c r="F86" s="25"/>
      <c r="G86" s="17">
        <f>G66+G84-G85</f>
        <v>288200000</v>
      </c>
      <c r="K86" s="46"/>
      <c r="L86" s="3" t="s">
        <v>47</v>
      </c>
    </row>
    <row r="87" spans="1:12" x14ac:dyDescent="0.25">
      <c r="G87" s="28"/>
    </row>
    <row r="88" spans="1:12" x14ac:dyDescent="0.25">
      <c r="A88" s="72" t="s">
        <v>40</v>
      </c>
      <c r="B88" s="72"/>
      <c r="C88" s="72"/>
      <c r="D88" s="72"/>
      <c r="E88" s="72"/>
      <c r="F88" s="72"/>
      <c r="G88" s="72"/>
    </row>
    <row r="89" spans="1:12" ht="37.5" customHeight="1" x14ac:dyDescent="0.25">
      <c r="A89" s="72"/>
      <c r="B89" s="72"/>
      <c r="C89" s="72"/>
      <c r="D89" s="72"/>
      <c r="E89" s="72"/>
      <c r="F89" s="72"/>
      <c r="G89" s="72"/>
    </row>
    <row r="90" spans="1:12" x14ac:dyDescent="0.25">
      <c r="G90" s="28"/>
    </row>
    <row r="91" spans="1:12" x14ac:dyDescent="0.25">
      <c r="E91" s="73" t="s">
        <v>66</v>
      </c>
      <c r="F91" s="73"/>
      <c r="G91" s="73"/>
    </row>
    <row r="92" spans="1:12" x14ac:dyDescent="0.25">
      <c r="G92" s="28"/>
    </row>
    <row r="93" spans="1:12" x14ac:dyDescent="0.25">
      <c r="A93" s="74" t="s">
        <v>74</v>
      </c>
      <c r="B93" s="74"/>
      <c r="C93" s="74"/>
      <c r="D93" s="74"/>
      <c r="E93" s="74"/>
      <c r="F93" s="74"/>
      <c r="G93" s="74"/>
    </row>
    <row r="101" spans="1:7" ht="20.25" customHeight="1" x14ac:dyDescent="0.25">
      <c r="A101" s="64" t="s">
        <v>11</v>
      </c>
      <c r="B101" s="64"/>
      <c r="C101" s="64"/>
      <c r="D101" s="64"/>
      <c r="E101" s="64"/>
      <c r="F101" s="64"/>
      <c r="G101" s="64"/>
    </row>
    <row r="102" spans="1:7" ht="18.75" customHeight="1" x14ac:dyDescent="0.25">
      <c r="A102" s="65" t="s">
        <v>98</v>
      </c>
      <c r="B102" s="65"/>
      <c r="C102" s="65"/>
      <c r="D102" s="65"/>
      <c r="E102" s="65"/>
      <c r="F102" s="65"/>
      <c r="G102" s="65"/>
    </row>
    <row r="103" spans="1:7" ht="18.75" customHeight="1" x14ac:dyDescent="0.25">
      <c r="A103" s="65" t="s">
        <v>54</v>
      </c>
      <c r="B103" s="65"/>
      <c r="C103" s="65"/>
      <c r="D103" s="65"/>
      <c r="E103" s="65"/>
      <c r="F103" s="65"/>
      <c r="G103" s="65"/>
    </row>
    <row r="104" spans="1:7" ht="18.75" customHeight="1" x14ac:dyDescent="0.25">
      <c r="A104" s="63" t="s">
        <v>15</v>
      </c>
      <c r="B104" s="63"/>
      <c r="C104" s="63"/>
      <c r="D104" s="63"/>
      <c r="E104" s="63"/>
      <c r="F104" s="63"/>
      <c r="G104" s="63"/>
    </row>
    <row r="105" spans="1:7" ht="18.75" customHeight="1" x14ac:dyDescent="0.25">
      <c r="A105" s="74" t="s">
        <v>16</v>
      </c>
      <c r="B105" s="74"/>
      <c r="C105" s="74"/>
      <c r="D105" s="74"/>
      <c r="E105" s="74"/>
      <c r="F105" s="74"/>
      <c r="G105" s="74"/>
    </row>
    <row r="106" spans="1:7" ht="18.75" customHeight="1" x14ac:dyDescent="0.25">
      <c r="A106" s="65" t="s">
        <v>17</v>
      </c>
      <c r="B106" s="65"/>
      <c r="C106" s="65"/>
      <c r="D106" s="65"/>
      <c r="E106" s="65"/>
      <c r="F106" s="65"/>
      <c r="G106" s="65"/>
    </row>
    <row r="107" spans="1:7" ht="18.75" customHeight="1" x14ac:dyDescent="0.25">
      <c r="A107" s="74" t="s">
        <v>25</v>
      </c>
      <c r="B107" s="74"/>
      <c r="C107" s="74"/>
      <c r="D107" s="74"/>
      <c r="E107" s="74"/>
      <c r="F107" s="74"/>
      <c r="G107" s="74"/>
    </row>
    <row r="108" spans="1:7" ht="18.75" customHeight="1" x14ac:dyDescent="0.25">
      <c r="A108" s="65" t="s">
        <v>46</v>
      </c>
      <c r="B108" s="65"/>
      <c r="C108" s="65"/>
      <c r="D108" s="65"/>
      <c r="E108" s="65"/>
      <c r="F108" s="65"/>
      <c r="G108" s="65"/>
    </row>
    <row r="109" spans="1:7" ht="18.75" customHeight="1" x14ac:dyDescent="0.25">
      <c r="A109" s="65" t="s">
        <v>84</v>
      </c>
      <c r="B109" s="65"/>
      <c r="C109" s="65"/>
      <c r="D109" s="65"/>
      <c r="E109" s="65"/>
      <c r="F109" s="65"/>
      <c r="G109" s="65"/>
    </row>
    <row r="110" spans="1:7" ht="17.25" customHeight="1" x14ac:dyDescent="0.25">
      <c r="A110" s="68"/>
      <c r="B110" s="68"/>
      <c r="C110" s="68"/>
      <c r="D110" s="68"/>
      <c r="E110" s="68"/>
      <c r="F110" s="68"/>
      <c r="G110" s="68"/>
    </row>
    <row r="111" spans="1:7" ht="32.25" customHeight="1" x14ac:dyDescent="0.25">
      <c r="A111" s="4" t="s">
        <v>0</v>
      </c>
      <c r="B111" s="4" t="s">
        <v>1</v>
      </c>
      <c r="C111" s="4" t="s">
        <v>37</v>
      </c>
      <c r="D111" s="5" t="s">
        <v>6</v>
      </c>
      <c r="E111" s="4" t="s">
        <v>2</v>
      </c>
      <c r="F111" s="14" t="s">
        <v>12</v>
      </c>
      <c r="G111" s="5" t="s">
        <v>13</v>
      </c>
    </row>
    <row r="112" spans="1:7" ht="20.25" customHeight="1" x14ac:dyDescent="0.25">
      <c r="A112" s="19" t="s">
        <v>41</v>
      </c>
      <c r="B112" s="19"/>
      <c r="C112" s="69" t="s">
        <v>85</v>
      </c>
      <c r="D112" s="70"/>
      <c r="E112" s="70"/>
      <c r="F112" s="71"/>
      <c r="G112" s="20">
        <v>288200000</v>
      </c>
    </row>
    <row r="113" spans="1:8" ht="18" customHeight="1" x14ac:dyDescent="0.25">
      <c r="A113" s="6">
        <v>1</v>
      </c>
      <c r="B113" s="7" t="s">
        <v>81</v>
      </c>
      <c r="C113" s="29" t="s">
        <v>35</v>
      </c>
      <c r="D113" s="6">
        <v>4</v>
      </c>
      <c r="E113" s="6" t="s">
        <v>19</v>
      </c>
      <c r="F113" s="23">
        <v>450000</v>
      </c>
      <c r="G113" s="24">
        <f>D113*F113</f>
        <v>1800000</v>
      </c>
    </row>
    <row r="114" spans="1:8" ht="18" customHeight="1" x14ac:dyDescent="0.25">
      <c r="A114" s="6">
        <v>2</v>
      </c>
      <c r="B114" s="7" t="s">
        <v>82</v>
      </c>
      <c r="C114" s="29" t="s">
        <v>35</v>
      </c>
      <c r="D114" s="6">
        <v>4</v>
      </c>
      <c r="E114" s="6" t="s">
        <v>19</v>
      </c>
      <c r="F114" s="23">
        <v>450000</v>
      </c>
      <c r="G114" s="24">
        <f t="shared" ref="G114:G120" si="5">D114*F114</f>
        <v>1800000</v>
      </c>
    </row>
    <row r="115" spans="1:8" ht="18" customHeight="1" x14ac:dyDescent="0.25">
      <c r="A115" s="6">
        <v>3</v>
      </c>
      <c r="B115" s="7" t="s">
        <v>86</v>
      </c>
      <c r="C115" s="29" t="s">
        <v>36</v>
      </c>
      <c r="D115" s="45">
        <v>4</v>
      </c>
      <c r="E115" s="6" t="s">
        <v>19</v>
      </c>
      <c r="F115" s="23">
        <v>750000</v>
      </c>
      <c r="G115" s="24">
        <f t="shared" si="5"/>
        <v>3000000</v>
      </c>
    </row>
    <row r="116" spans="1:8" ht="18" customHeight="1" x14ac:dyDescent="0.25">
      <c r="A116" s="6">
        <v>4</v>
      </c>
      <c r="B116" s="10" t="s">
        <v>86</v>
      </c>
      <c r="C116" s="29" t="s">
        <v>35</v>
      </c>
      <c r="D116" s="6">
        <v>4</v>
      </c>
      <c r="E116" s="30" t="s">
        <v>19</v>
      </c>
      <c r="F116" s="23">
        <v>450000</v>
      </c>
      <c r="G116" s="24">
        <f t="shared" si="5"/>
        <v>1800000</v>
      </c>
    </row>
    <row r="117" spans="1:8" ht="18" customHeight="1" x14ac:dyDescent="0.25">
      <c r="A117" s="6">
        <v>5</v>
      </c>
      <c r="B117" s="7" t="s">
        <v>88</v>
      </c>
      <c r="C117" s="29" t="s">
        <v>36</v>
      </c>
      <c r="D117" s="6">
        <v>3</v>
      </c>
      <c r="E117" s="6" t="s">
        <v>19</v>
      </c>
      <c r="F117" s="23">
        <v>750000</v>
      </c>
      <c r="G117" s="24">
        <f t="shared" si="5"/>
        <v>2250000</v>
      </c>
    </row>
    <row r="118" spans="1:8" ht="18" customHeight="1" x14ac:dyDescent="0.25">
      <c r="A118" s="6">
        <v>6</v>
      </c>
      <c r="B118" s="7" t="s">
        <v>100</v>
      </c>
      <c r="C118" s="29" t="s">
        <v>36</v>
      </c>
      <c r="D118" s="6">
        <v>4</v>
      </c>
      <c r="E118" s="6" t="s">
        <v>19</v>
      </c>
      <c r="F118" s="23">
        <v>750000</v>
      </c>
      <c r="G118" s="24">
        <f t="shared" si="5"/>
        <v>3000000</v>
      </c>
    </row>
    <row r="119" spans="1:8" ht="18" customHeight="1" x14ac:dyDescent="0.25">
      <c r="A119" s="6">
        <v>7</v>
      </c>
      <c r="B119" s="10" t="s">
        <v>89</v>
      </c>
      <c r="C119" s="29" t="s">
        <v>36</v>
      </c>
      <c r="D119" s="6">
        <v>4</v>
      </c>
      <c r="E119" s="6" t="s">
        <v>19</v>
      </c>
      <c r="F119" s="23">
        <v>750000</v>
      </c>
      <c r="G119" s="24">
        <f t="shared" si="5"/>
        <v>3000000</v>
      </c>
    </row>
    <row r="120" spans="1:8" ht="18" customHeight="1" x14ac:dyDescent="0.25">
      <c r="A120" s="6">
        <v>8</v>
      </c>
      <c r="B120" s="44" t="s">
        <v>91</v>
      </c>
      <c r="C120" s="29" t="s">
        <v>90</v>
      </c>
      <c r="D120" s="6">
        <v>4</v>
      </c>
      <c r="E120" s="6" t="s">
        <v>19</v>
      </c>
      <c r="F120" s="23">
        <v>750000</v>
      </c>
      <c r="G120" s="24">
        <f t="shared" si="5"/>
        <v>3000000</v>
      </c>
      <c r="H120" s="43"/>
    </row>
    <row r="121" spans="1:8" ht="18" customHeight="1" x14ac:dyDescent="0.25">
      <c r="A121" s="6"/>
      <c r="B121" s="11"/>
      <c r="C121" s="7"/>
      <c r="D121" s="6"/>
      <c r="E121" s="6"/>
      <c r="F121" s="23"/>
      <c r="G121" s="24"/>
    </row>
    <row r="122" spans="1:8" ht="18" customHeight="1" x14ac:dyDescent="0.25">
      <c r="A122" s="6"/>
      <c r="B122" s="6"/>
      <c r="C122" s="7"/>
      <c r="D122" s="6"/>
      <c r="E122" s="8"/>
      <c r="F122" s="23"/>
      <c r="G122" s="24"/>
    </row>
    <row r="123" spans="1:8" ht="18" customHeight="1" x14ac:dyDescent="0.25">
      <c r="A123" s="6"/>
      <c r="B123" s="6"/>
      <c r="C123" s="7"/>
      <c r="D123" s="6"/>
      <c r="E123" s="8"/>
      <c r="F123" s="23"/>
      <c r="G123" s="24"/>
    </row>
    <row r="124" spans="1:8" ht="18" customHeight="1" x14ac:dyDescent="0.25">
      <c r="A124" s="6"/>
      <c r="B124" s="6"/>
      <c r="C124" s="7"/>
      <c r="D124" s="6"/>
      <c r="E124" s="6"/>
      <c r="F124" s="23"/>
      <c r="G124" s="24"/>
    </row>
    <row r="125" spans="1:8" ht="18" customHeight="1" x14ac:dyDescent="0.25">
      <c r="A125" s="6"/>
      <c r="B125" s="6"/>
      <c r="C125" s="7"/>
      <c r="D125" s="6"/>
      <c r="E125" s="6"/>
      <c r="F125" s="23"/>
      <c r="G125" s="24"/>
    </row>
    <row r="126" spans="1:8" ht="18" customHeight="1" x14ac:dyDescent="0.25">
      <c r="A126" s="6"/>
      <c r="B126" s="6"/>
      <c r="C126" s="7"/>
      <c r="D126" s="6"/>
      <c r="E126" s="6"/>
      <c r="F126" s="23"/>
      <c r="G126" s="24"/>
    </row>
    <row r="127" spans="1:8" ht="18" customHeight="1" x14ac:dyDescent="0.25">
      <c r="A127" s="6"/>
      <c r="B127" s="6"/>
      <c r="C127" s="7"/>
      <c r="D127" s="6"/>
      <c r="E127" s="6"/>
      <c r="F127" s="23"/>
      <c r="G127" s="24"/>
    </row>
    <row r="128" spans="1:8" ht="18" customHeight="1" x14ac:dyDescent="0.25">
      <c r="A128" s="6"/>
      <c r="B128" s="6"/>
      <c r="C128" s="30"/>
      <c r="D128" s="30"/>
      <c r="E128" s="30"/>
      <c r="F128" s="31"/>
      <c r="G128" s="32"/>
    </row>
    <row r="129" spans="1:12" ht="18" customHeight="1" x14ac:dyDescent="0.25">
      <c r="A129" s="6"/>
      <c r="B129" s="6"/>
      <c r="C129" s="7"/>
      <c r="D129" s="6"/>
      <c r="E129" s="6"/>
      <c r="F129" s="23"/>
      <c r="G129" s="24"/>
    </row>
    <row r="130" spans="1:12" ht="18" customHeight="1" x14ac:dyDescent="0.25">
      <c r="A130" s="6"/>
      <c r="B130" s="6"/>
      <c r="C130" s="7"/>
      <c r="D130" s="6"/>
      <c r="E130" s="6"/>
      <c r="F130" s="23"/>
      <c r="G130" s="24"/>
    </row>
    <row r="131" spans="1:12" ht="18" customHeight="1" x14ac:dyDescent="0.25">
      <c r="A131" s="6"/>
      <c r="B131" s="4" t="s">
        <v>43</v>
      </c>
      <c r="C131" s="47" t="s">
        <v>42</v>
      </c>
      <c r="D131" s="18">
        <f>SUM(D113:D130)</f>
        <v>31</v>
      </c>
      <c r="E131" s="21"/>
      <c r="F131" s="21"/>
      <c r="G131" s="17">
        <f>SUM(G113:G130)</f>
        <v>19650000</v>
      </c>
      <c r="K131" s="46"/>
    </row>
    <row r="132" spans="1:12" ht="37.5" customHeight="1" x14ac:dyDescent="0.25">
      <c r="A132" s="61"/>
      <c r="B132" s="19" t="s">
        <v>77</v>
      </c>
      <c r="C132" s="62" t="s">
        <v>78</v>
      </c>
      <c r="D132" s="56"/>
      <c r="E132" s="57"/>
      <c r="F132" s="57"/>
      <c r="G132" s="41"/>
    </row>
    <row r="133" spans="1:12" ht="24.75" customHeight="1" x14ac:dyDescent="0.25">
      <c r="A133" s="25"/>
      <c r="B133" s="4" t="s">
        <v>79</v>
      </c>
      <c r="C133" s="49" t="s">
        <v>45</v>
      </c>
      <c r="D133" s="25"/>
      <c r="E133" s="25"/>
      <c r="F133" s="25"/>
      <c r="G133" s="17">
        <f>G112+G131-G132</f>
        <v>307850000</v>
      </c>
      <c r="K133" s="46"/>
      <c r="L133" s="3" t="s">
        <v>47</v>
      </c>
    </row>
    <row r="134" spans="1:12" x14ac:dyDescent="0.25">
      <c r="G134" s="52"/>
    </row>
    <row r="135" spans="1:12" x14ac:dyDescent="0.25">
      <c r="A135" s="72" t="s">
        <v>40</v>
      </c>
      <c r="B135" s="72"/>
      <c r="C135" s="72"/>
      <c r="D135" s="72"/>
      <c r="E135" s="72"/>
      <c r="F135" s="72"/>
      <c r="G135" s="72"/>
    </row>
    <row r="136" spans="1:12" ht="37.5" customHeight="1" x14ac:dyDescent="0.25">
      <c r="A136" s="72"/>
      <c r="B136" s="72"/>
      <c r="C136" s="72"/>
      <c r="D136" s="72"/>
      <c r="E136" s="72"/>
      <c r="F136" s="72"/>
      <c r="G136" s="72"/>
    </row>
    <row r="137" spans="1:12" x14ac:dyDescent="0.25">
      <c r="G137" s="52"/>
    </row>
    <row r="138" spans="1:12" x14ac:dyDescent="0.25">
      <c r="E138" s="73" t="s">
        <v>66</v>
      </c>
      <c r="F138" s="73"/>
      <c r="G138" s="73"/>
    </row>
    <row r="139" spans="1:12" x14ac:dyDescent="0.25">
      <c r="G139" s="52"/>
    </row>
    <row r="140" spans="1:12" x14ac:dyDescent="0.25">
      <c r="A140" s="74" t="s">
        <v>74</v>
      </c>
      <c r="B140" s="74"/>
      <c r="C140" s="74"/>
      <c r="D140" s="74"/>
      <c r="E140" s="74"/>
      <c r="F140" s="74"/>
      <c r="G140" s="74"/>
    </row>
    <row r="147" spans="1:7" ht="20.25" customHeight="1" x14ac:dyDescent="0.25">
      <c r="A147" s="64" t="s">
        <v>11</v>
      </c>
      <c r="B147" s="64"/>
      <c r="C147" s="64"/>
      <c r="D147" s="64"/>
      <c r="E147" s="64"/>
      <c r="F147" s="64"/>
      <c r="G147" s="64"/>
    </row>
    <row r="148" spans="1:7" ht="18.75" customHeight="1" x14ac:dyDescent="0.25">
      <c r="A148" s="65" t="s">
        <v>24</v>
      </c>
      <c r="B148" s="65"/>
      <c r="C148" s="65"/>
      <c r="D148" s="65"/>
      <c r="E148" s="65"/>
      <c r="F148" s="65"/>
      <c r="G148" s="65"/>
    </row>
    <row r="149" spans="1:7" ht="18.75" customHeight="1" x14ac:dyDescent="0.25">
      <c r="A149" s="65" t="s">
        <v>54</v>
      </c>
      <c r="B149" s="65"/>
      <c r="C149" s="65"/>
      <c r="D149" s="65"/>
      <c r="E149" s="65"/>
      <c r="F149" s="65"/>
      <c r="G149" s="65"/>
    </row>
    <row r="150" spans="1:7" ht="18.75" customHeight="1" x14ac:dyDescent="0.25">
      <c r="A150" s="63" t="s">
        <v>15</v>
      </c>
      <c r="B150" s="63"/>
      <c r="C150" s="63"/>
      <c r="D150" s="63"/>
      <c r="E150" s="63"/>
      <c r="F150" s="63"/>
      <c r="G150" s="63"/>
    </row>
    <row r="151" spans="1:7" ht="18.75" customHeight="1" x14ac:dyDescent="0.25">
      <c r="A151" s="74" t="s">
        <v>16</v>
      </c>
      <c r="B151" s="74"/>
      <c r="C151" s="74"/>
      <c r="D151" s="74"/>
      <c r="E151" s="74"/>
      <c r="F151" s="74"/>
      <c r="G151" s="74"/>
    </row>
    <row r="152" spans="1:7" ht="18.75" customHeight="1" x14ac:dyDescent="0.25">
      <c r="A152" s="65" t="s">
        <v>17</v>
      </c>
      <c r="B152" s="65"/>
      <c r="C152" s="65"/>
      <c r="D152" s="65"/>
      <c r="E152" s="65"/>
      <c r="F152" s="65"/>
      <c r="G152" s="65"/>
    </row>
    <row r="153" spans="1:7" ht="18.75" customHeight="1" x14ac:dyDescent="0.25">
      <c r="A153" s="74" t="s">
        <v>25</v>
      </c>
      <c r="B153" s="74"/>
      <c r="C153" s="74"/>
      <c r="D153" s="74"/>
      <c r="E153" s="74"/>
      <c r="F153" s="74"/>
      <c r="G153" s="74"/>
    </row>
    <row r="154" spans="1:7" ht="18.75" customHeight="1" x14ac:dyDescent="0.25">
      <c r="A154" s="65" t="s">
        <v>46</v>
      </c>
      <c r="B154" s="65"/>
      <c r="C154" s="65"/>
      <c r="D154" s="65"/>
      <c r="E154" s="65"/>
      <c r="F154" s="65"/>
      <c r="G154" s="65"/>
    </row>
    <row r="155" spans="1:7" ht="18.75" customHeight="1" x14ac:dyDescent="0.25">
      <c r="A155" s="65" t="s">
        <v>94</v>
      </c>
      <c r="B155" s="65"/>
      <c r="C155" s="65"/>
      <c r="D155" s="65"/>
      <c r="E155" s="65"/>
      <c r="F155" s="65"/>
      <c r="G155" s="65"/>
    </row>
    <row r="156" spans="1:7" ht="17.25" customHeight="1" x14ac:dyDescent="0.25">
      <c r="A156" s="68"/>
      <c r="B156" s="68"/>
      <c r="C156" s="68"/>
      <c r="D156" s="68"/>
      <c r="E156" s="68"/>
      <c r="F156" s="68"/>
      <c r="G156" s="68"/>
    </row>
    <row r="157" spans="1:7" ht="32.25" customHeight="1" x14ac:dyDescent="0.25">
      <c r="A157" s="4" t="s">
        <v>0</v>
      </c>
      <c r="B157" s="4" t="s">
        <v>1</v>
      </c>
      <c r="C157" s="4" t="s">
        <v>37</v>
      </c>
      <c r="D157" s="5" t="s">
        <v>6</v>
      </c>
      <c r="E157" s="4" t="s">
        <v>2</v>
      </c>
      <c r="F157" s="14" t="s">
        <v>12</v>
      </c>
      <c r="G157" s="5" t="s">
        <v>13</v>
      </c>
    </row>
    <row r="158" spans="1:7" ht="20.25" customHeight="1" x14ac:dyDescent="0.25">
      <c r="A158" s="19" t="s">
        <v>41</v>
      </c>
      <c r="B158" s="19"/>
      <c r="C158" s="69" t="s">
        <v>96</v>
      </c>
      <c r="D158" s="70"/>
      <c r="E158" s="70"/>
      <c r="F158" s="71"/>
      <c r="G158" s="20">
        <v>307850000</v>
      </c>
    </row>
    <row r="159" spans="1:7" ht="18" customHeight="1" x14ac:dyDescent="0.25">
      <c r="A159" s="6">
        <v>1</v>
      </c>
      <c r="B159" s="7" t="s">
        <v>93</v>
      </c>
      <c r="C159" s="29" t="s">
        <v>35</v>
      </c>
      <c r="D159" s="6">
        <v>4</v>
      </c>
      <c r="E159" s="6" t="s">
        <v>19</v>
      </c>
      <c r="F159" s="23">
        <v>450000</v>
      </c>
      <c r="G159" s="24">
        <f>D159*F159</f>
        <v>1800000</v>
      </c>
    </row>
    <row r="160" spans="1:7" ht="18" customHeight="1" x14ac:dyDescent="0.25">
      <c r="A160" s="6">
        <v>2</v>
      </c>
      <c r="B160" s="7" t="s">
        <v>101</v>
      </c>
      <c r="C160" s="29" t="s">
        <v>35</v>
      </c>
      <c r="D160" s="6">
        <v>4</v>
      </c>
      <c r="E160" s="6" t="s">
        <v>19</v>
      </c>
      <c r="F160" s="23">
        <v>450000</v>
      </c>
      <c r="G160" s="24">
        <f t="shared" ref="G160:G168" si="6">D160*F160</f>
        <v>1800000</v>
      </c>
    </row>
    <row r="161" spans="1:11" ht="18" customHeight="1" x14ac:dyDescent="0.25">
      <c r="A161" s="6"/>
      <c r="B161" s="7"/>
      <c r="C161" s="29"/>
      <c r="D161" s="45"/>
      <c r="E161" s="6"/>
      <c r="F161" s="23"/>
      <c r="G161" s="24">
        <f t="shared" si="6"/>
        <v>0</v>
      </c>
    </row>
    <row r="162" spans="1:11" ht="18" customHeight="1" x14ac:dyDescent="0.25">
      <c r="A162" s="6"/>
      <c r="B162" s="10"/>
      <c r="C162" s="29"/>
      <c r="D162" s="6"/>
      <c r="E162" s="30"/>
      <c r="F162" s="23"/>
      <c r="G162" s="24">
        <f t="shared" si="6"/>
        <v>0</v>
      </c>
    </row>
    <row r="163" spans="1:11" ht="18" customHeight="1" x14ac:dyDescent="0.25">
      <c r="A163" s="6"/>
      <c r="B163" s="7"/>
      <c r="C163" s="29"/>
      <c r="D163" s="6"/>
      <c r="E163" s="6"/>
      <c r="F163" s="23"/>
      <c r="G163" s="24">
        <f t="shared" si="6"/>
        <v>0</v>
      </c>
    </row>
    <row r="164" spans="1:11" ht="18" customHeight="1" x14ac:dyDescent="0.25">
      <c r="A164" s="6"/>
      <c r="B164" s="10"/>
      <c r="C164" s="29"/>
      <c r="D164" s="6"/>
      <c r="E164" s="6"/>
      <c r="F164" s="23"/>
      <c r="G164" s="24">
        <f t="shared" si="6"/>
        <v>0</v>
      </c>
    </row>
    <row r="165" spans="1:11" ht="18" customHeight="1" x14ac:dyDescent="0.25">
      <c r="A165" s="6"/>
      <c r="B165" s="44"/>
      <c r="C165" s="29"/>
      <c r="D165" s="6"/>
      <c r="E165" s="6"/>
      <c r="F165" s="23"/>
      <c r="G165" s="24">
        <f t="shared" si="6"/>
        <v>0</v>
      </c>
      <c r="H165" s="43"/>
    </row>
    <row r="166" spans="1:11" ht="18" customHeight="1" x14ac:dyDescent="0.25">
      <c r="A166" s="6"/>
      <c r="B166" s="11"/>
      <c r="C166" s="7"/>
      <c r="D166" s="6"/>
      <c r="E166" s="6"/>
      <c r="F166" s="23"/>
      <c r="G166" s="24">
        <f t="shared" si="6"/>
        <v>0</v>
      </c>
    </row>
    <row r="167" spans="1:11" ht="18" customHeight="1" x14ac:dyDescent="0.25">
      <c r="A167" s="6"/>
      <c r="B167" s="6"/>
      <c r="C167" s="7"/>
      <c r="D167" s="6"/>
      <c r="E167" s="8"/>
      <c r="F167" s="23"/>
      <c r="G167" s="24">
        <f t="shared" si="6"/>
        <v>0</v>
      </c>
    </row>
    <row r="168" spans="1:11" ht="18" customHeight="1" x14ac:dyDescent="0.25">
      <c r="A168" s="6"/>
      <c r="B168" s="6"/>
      <c r="C168" s="7"/>
      <c r="D168" s="6"/>
      <c r="E168" s="8"/>
      <c r="F168" s="23"/>
      <c r="G168" s="24">
        <f t="shared" si="6"/>
        <v>0</v>
      </c>
    </row>
    <row r="169" spans="1:11" ht="18" customHeight="1" x14ac:dyDescent="0.25">
      <c r="A169" s="6"/>
      <c r="B169" s="6"/>
      <c r="C169" s="7"/>
      <c r="D169" s="6"/>
      <c r="E169" s="6"/>
      <c r="F169" s="23"/>
      <c r="G169" s="24"/>
    </row>
    <row r="170" spans="1:11" ht="18" customHeight="1" x14ac:dyDescent="0.25">
      <c r="A170" s="6"/>
      <c r="B170" s="6"/>
      <c r="C170" s="7"/>
      <c r="D170" s="6"/>
      <c r="E170" s="6"/>
      <c r="F170" s="23"/>
      <c r="G170" s="24"/>
    </row>
    <row r="171" spans="1:11" ht="18" customHeight="1" x14ac:dyDescent="0.25">
      <c r="A171" s="6"/>
      <c r="B171" s="6"/>
      <c r="C171" s="7"/>
      <c r="D171" s="6"/>
      <c r="E171" s="6"/>
      <c r="F171" s="23"/>
      <c r="G171" s="24"/>
    </row>
    <row r="172" spans="1:11" ht="18" customHeight="1" x14ac:dyDescent="0.25">
      <c r="A172" s="6"/>
      <c r="B172" s="6"/>
      <c r="C172" s="7"/>
      <c r="D172" s="6"/>
      <c r="E172" s="6"/>
      <c r="F172" s="23"/>
      <c r="G172" s="24"/>
    </row>
    <row r="173" spans="1:11" ht="18" customHeight="1" x14ac:dyDescent="0.25">
      <c r="A173" s="6"/>
      <c r="B173" s="6"/>
      <c r="C173" s="30"/>
      <c r="D173" s="30"/>
      <c r="E173" s="30"/>
      <c r="F173" s="31"/>
      <c r="G173" s="32"/>
    </row>
    <row r="174" spans="1:11" ht="18" customHeight="1" x14ac:dyDescent="0.25">
      <c r="A174" s="6"/>
      <c r="B174" s="6"/>
      <c r="C174" s="7"/>
      <c r="D174" s="6"/>
      <c r="E174" s="6"/>
      <c r="F174" s="23"/>
      <c r="G174" s="24"/>
    </row>
    <row r="175" spans="1:11" ht="18" customHeight="1" x14ac:dyDescent="0.25">
      <c r="A175" s="6"/>
      <c r="B175" s="6"/>
      <c r="C175" s="7"/>
      <c r="D175" s="6"/>
      <c r="E175" s="6"/>
      <c r="F175" s="23"/>
      <c r="G175" s="24"/>
    </row>
    <row r="176" spans="1:11" ht="18" customHeight="1" x14ac:dyDescent="0.25">
      <c r="A176" s="6"/>
      <c r="B176" s="4" t="s">
        <v>43</v>
      </c>
      <c r="C176" s="47" t="s">
        <v>42</v>
      </c>
      <c r="D176" s="18">
        <f>SUM(D159:D175)</f>
        <v>8</v>
      </c>
      <c r="E176" s="21"/>
      <c r="F176" s="21"/>
      <c r="G176" s="17">
        <f>SUM(G159:G175)</f>
        <v>3600000</v>
      </c>
      <c r="K176" s="46"/>
    </row>
    <row r="177" spans="1:12" ht="18" customHeight="1" x14ac:dyDescent="0.25">
      <c r="A177" s="6"/>
      <c r="B177" s="4" t="s">
        <v>77</v>
      </c>
      <c r="C177" s="48" t="s">
        <v>78</v>
      </c>
      <c r="D177" s="18"/>
      <c r="E177" s="21"/>
      <c r="F177" s="21"/>
      <c r="G177" s="17"/>
    </row>
    <row r="178" spans="1:12" ht="18" customHeight="1" x14ac:dyDescent="0.25">
      <c r="A178" s="25"/>
      <c r="B178" s="4" t="s">
        <v>79</v>
      </c>
      <c r="C178" s="49" t="s">
        <v>45</v>
      </c>
      <c r="D178" s="25"/>
      <c r="E178" s="25"/>
      <c r="F178" s="25"/>
      <c r="G178" s="17">
        <f>G158+G176-G177</f>
        <v>311450000</v>
      </c>
      <c r="K178" s="46"/>
      <c r="L178" s="3" t="s">
        <v>47</v>
      </c>
    </row>
    <row r="179" spans="1:12" x14ac:dyDescent="0.25">
      <c r="G179" s="54"/>
    </row>
    <row r="180" spans="1:12" x14ac:dyDescent="0.25">
      <c r="A180" s="72" t="s">
        <v>40</v>
      </c>
      <c r="B180" s="72"/>
      <c r="C180" s="72"/>
      <c r="D180" s="72"/>
      <c r="E180" s="72"/>
      <c r="F180" s="72"/>
      <c r="G180" s="72"/>
    </row>
    <row r="181" spans="1:12" ht="37.5" customHeight="1" x14ac:dyDescent="0.25">
      <c r="A181" s="72"/>
      <c r="B181" s="72"/>
      <c r="C181" s="72"/>
      <c r="D181" s="72"/>
      <c r="E181" s="72"/>
      <c r="F181" s="72"/>
      <c r="G181" s="72"/>
    </row>
    <row r="182" spans="1:12" x14ac:dyDescent="0.25">
      <c r="G182" s="54"/>
    </row>
    <row r="183" spans="1:12" x14ac:dyDescent="0.25">
      <c r="E183" s="73" t="s">
        <v>66</v>
      </c>
      <c r="F183" s="73"/>
      <c r="G183" s="73"/>
    </row>
    <row r="184" spans="1:12" x14ac:dyDescent="0.25">
      <c r="G184" s="54"/>
    </row>
    <row r="185" spans="1:12" x14ac:dyDescent="0.25">
      <c r="A185" s="74" t="s">
        <v>74</v>
      </c>
      <c r="B185" s="74"/>
      <c r="C185" s="74"/>
      <c r="D185" s="74"/>
      <c r="E185" s="74"/>
      <c r="F185" s="74"/>
      <c r="G185" s="74"/>
    </row>
  </sheetData>
  <mergeCells count="60">
    <mergeCell ref="C158:F158"/>
    <mergeCell ref="A180:G181"/>
    <mergeCell ref="E183:G183"/>
    <mergeCell ref="A185:G185"/>
    <mergeCell ref="A152:G152"/>
    <mergeCell ref="A153:G153"/>
    <mergeCell ref="A154:G154"/>
    <mergeCell ref="A155:G155"/>
    <mergeCell ref="A156:G156"/>
    <mergeCell ref="A147:G147"/>
    <mergeCell ref="A148:G148"/>
    <mergeCell ref="A149:G149"/>
    <mergeCell ref="A150:G150"/>
    <mergeCell ref="A151:G151"/>
    <mergeCell ref="C112:F112"/>
    <mergeCell ref="A135:G136"/>
    <mergeCell ref="E138:G138"/>
    <mergeCell ref="A140:G140"/>
    <mergeCell ref="A106:G106"/>
    <mergeCell ref="A107:G107"/>
    <mergeCell ref="A108:G108"/>
    <mergeCell ref="A109:G109"/>
    <mergeCell ref="A110:G110"/>
    <mergeCell ref="A101:G101"/>
    <mergeCell ref="A102:G102"/>
    <mergeCell ref="A103:G103"/>
    <mergeCell ref="A104:G104"/>
    <mergeCell ref="A105:G105"/>
    <mergeCell ref="A1:E1"/>
    <mergeCell ref="A6:G6"/>
    <mergeCell ref="A7:G7"/>
    <mergeCell ref="A8:G8"/>
    <mergeCell ref="A3:G3"/>
    <mergeCell ref="A4:G4"/>
    <mergeCell ref="A5:G5"/>
    <mergeCell ref="A11:G11"/>
    <mergeCell ref="A12:G12"/>
    <mergeCell ref="A47:G47"/>
    <mergeCell ref="A9:G9"/>
    <mergeCell ref="A10:G10"/>
    <mergeCell ref="A42:G43"/>
    <mergeCell ref="E45:G45"/>
    <mergeCell ref="C14:F14"/>
    <mergeCell ref="B33:C33"/>
    <mergeCell ref="B38:C38"/>
    <mergeCell ref="A48:E48"/>
    <mergeCell ref="A55:G55"/>
    <mergeCell ref="A56:G56"/>
    <mergeCell ref="A57:G57"/>
    <mergeCell ref="A58:G58"/>
    <mergeCell ref="A59:G59"/>
    <mergeCell ref="A60:G60"/>
    <mergeCell ref="A61:G61"/>
    <mergeCell ref="A62:G62"/>
    <mergeCell ref="A63:G63"/>
    <mergeCell ref="A64:G64"/>
    <mergeCell ref="C66:F66"/>
    <mergeCell ref="A88:G89"/>
    <mergeCell ref="E91:G91"/>
    <mergeCell ref="A93:G93"/>
  </mergeCells>
  <pageMargins left="0.3" right="0" top="0.3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Vật tư ngày</vt:lpstr>
      <vt:lpstr>Vật tư tháng</vt:lpstr>
      <vt:lpstr>Đối chiếu công nợ Hết 26.5.26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2026-07-20T13:11:20Z</dcterms:modified>
</cp:coreProperties>
</file>