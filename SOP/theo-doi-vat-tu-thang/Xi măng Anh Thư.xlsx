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3"/>
  </bookViews>
  <sheets>
    <sheet name="SGV" sheetId="4" state="veryHidden" r:id="rId1"/>
    <sheet name="Vật tư ngày" sheetId="1" r:id="rId2"/>
    <sheet name="Vật tư tháng" sheetId="2" r:id="rId3"/>
    <sheet name="Đối chiếu công nợ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4" i="3" l="1"/>
  <c r="F53" i="3" l="1"/>
  <c r="F54" i="3" s="1"/>
  <c r="F56" i="3" s="1"/>
  <c r="F15" i="3" l="1"/>
  <c r="F16" i="3" s="1"/>
  <c r="F17" i="3" s="1"/>
</calcChain>
</file>

<file path=xl/sharedStrings.xml><?xml version="1.0" encoding="utf-8"?>
<sst xmlns="http://schemas.openxmlformats.org/spreadsheetml/2006/main" count="107" uniqueCount="42">
  <si>
    <t>STT</t>
  </si>
  <si>
    <t>Ngày/tháng/năm</t>
  </si>
  <si>
    <t>ĐVT</t>
  </si>
  <si>
    <t>Cán bộ vật tư</t>
  </si>
  <si>
    <t>Kế toán phụ trách</t>
  </si>
  <si>
    <t>Chỉ huy 
công trường</t>
  </si>
  <si>
    <t>Khối
 lượng</t>
  </si>
  <si>
    <t>Kế toán
 phụ trách</t>
  </si>
  <si>
    <t>BẢNG THEO DÕI HÀNG NGÀY</t>
  </si>
  <si>
    <t>BẢNG TỔNG HỢP VẬT TƯ THÁNG</t>
  </si>
  <si>
    <t>Ghi chú</t>
  </si>
  <si>
    <t>BẢNG ĐỐI CHIẾU CÔNG NỢ</t>
  </si>
  <si>
    <t>Đơn giá</t>
  </si>
  <si>
    <t>Thành tiền</t>
  </si>
  <si>
    <t>CÔNG TY CP XÂY DỰNG NGÔ QUYỀN</t>
  </si>
  <si>
    <t>Chúng tôi gồm các bên:</t>
  </si>
  <si>
    <t>Đại diện: Công ty CP Xây dựng Ngô Quyền ( Bên mua )</t>
  </si>
  <si>
    <t>Ông: Nguyễn Hoàng Sơn            Chức vụ: CB Vật tư</t>
  </si>
  <si>
    <t>Công trình: Trại Chuối</t>
  </si>
  <si>
    <t>Tên vật tư: Xi măng</t>
  </si>
  <si>
    <t>06/04/2026</t>
  </si>
  <si>
    <t>Tấn</t>
  </si>
  <si>
    <t>Đại diện: Công ty TNHH Anh Thư ( Bên bán )</t>
  </si>
  <si>
    <t>Ngày chốt khối lượng của tháng: Từ ngày 01/4/2026 đến ngày 26/4/2026</t>
  </si>
  <si>
    <t>Tháng: 04/2026</t>
  </si>
  <si>
    <t>Số công nợ xi măng từ ngày 01/4/2026 đến hết ngày 26/4/2026 như sau:</t>
  </si>
  <si>
    <t>Kính đề nghị quý Công ty TNHH Anh Thư kiểm tra và ký xác nhận đối chiếu công nợ vật tư tháng ( nếu có gì cần điều chỉnh xin liên hệ với Cán bộ vật tư hiện đang làm việc với quý Công ty để làm rõ )</t>
  </si>
  <si>
    <t>Dư nợ mang sang: Hết 31/3/2026</t>
  </si>
  <si>
    <t>A</t>
  </si>
  <si>
    <t>Cộng P/S</t>
  </si>
  <si>
    <t>B</t>
  </si>
  <si>
    <t>A+B</t>
  </si>
  <si>
    <t>Tổng nợ</t>
  </si>
  <si>
    <t>Ông ( Bà ): ………………………………….. ………..Chức vụ:………………………………</t>
  </si>
  <si>
    <t>Hải Phòng, ngày ... tháng ... năm 2026</t>
  </si>
  <si>
    <t>Ngày chốt khối lượng của tháng: Từ ngày 26/4/2026 đến ngày 26/5/2026</t>
  </si>
  <si>
    <t>Tháng: 05/2026</t>
  </si>
  <si>
    <t>Số công nợ xi măng từ ngày 26/4/2026 đến hết ngày 26/5/2026 như sau:</t>
  </si>
  <si>
    <t>Dư nợ mang sang: Hết 26/4/2026</t>
  </si>
  <si>
    <t xml:space="preserve">   Đại diện bên bán                                Kế toán phụ trách                                    Cán bộ vật tư</t>
  </si>
  <si>
    <t>C</t>
  </si>
  <si>
    <t>Chuyển khoản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</si>
</sst>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3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left"/>
    </xf>
    <xf numFmtId="164" fontId="1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164" fontId="4" fillId="0" borderId="0" xfId="0" applyNumberFormat="1" applyFont="1"/>
    <xf numFmtId="164" fontId="2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4" fillId="0" borderId="0" xfId="0" applyFont="1" applyAlignment="1">
      <alignment horizontal="left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/>
    <xf numFmtId="0" fontId="6" fillId="0" borderId="0" xfId="0" applyFont="1" applyBorder="1"/>
    <xf numFmtId="0" fontId="6" fillId="0" borderId="0" xfId="0" applyFont="1" applyBorder="1" applyAlignment="1">
      <alignment horizontal="center"/>
    </xf>
    <xf numFmtId="164" fontId="6" fillId="0" borderId="0" xfId="0" applyNumberFormat="1" applyFont="1" applyBorder="1"/>
    <xf numFmtId="164" fontId="6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left"/>
    </xf>
    <xf numFmtId="0" fontId="6" fillId="0" borderId="1" xfId="0" applyFont="1" applyBorder="1" applyAlignment="1">
      <alignment horizontal="center" vertical="center"/>
    </xf>
    <xf numFmtId="14" fontId="4" fillId="0" borderId="1" xfId="0" quotePrefix="1" applyNumberFormat="1" applyFont="1" applyBorder="1" applyAlignment="1">
      <alignment horizontal="center"/>
    </xf>
    <xf numFmtId="14" fontId="4" fillId="0" borderId="1" xfId="0" quotePrefix="1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4" fontId="8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opLeftCell="A50" workbookViewId="0">
      <selection activeCell="J60" sqref="J60"/>
    </sheetView>
  </sheetViews>
  <sheetFormatPr defaultRowHeight="15" x14ac:dyDescent="0.25"/>
  <cols>
    <col min="1" max="1" width="5.85546875" style="1" customWidth="1"/>
    <col min="2" max="2" width="16.5703125" style="1" customWidth="1"/>
    <col min="3" max="3" width="8.85546875" style="5" customWidth="1"/>
    <col min="4" max="4" width="7.85546875" style="1" customWidth="1"/>
    <col min="5" max="5" width="16.7109375" style="1" customWidth="1"/>
    <col min="6" max="6" width="18.7109375" style="1" customWidth="1"/>
    <col min="7" max="7" width="17.85546875" style="1" customWidth="1"/>
    <col min="8" max="16384" width="9.140625" style="1"/>
  </cols>
  <sheetData>
    <row r="1" spans="1:7" s="7" customFormat="1" ht="26.25" customHeight="1" x14ac:dyDescent="0.25">
      <c r="A1" s="48" t="s">
        <v>14</v>
      </c>
      <c r="B1" s="48"/>
      <c r="C1" s="48"/>
      <c r="D1" s="48"/>
      <c r="E1" s="48"/>
    </row>
    <row r="2" spans="1:7" ht="28.5" customHeight="1" x14ac:dyDescent="0.25">
      <c r="A2" s="46" t="s">
        <v>8</v>
      </c>
      <c r="B2" s="46"/>
      <c r="C2" s="46"/>
      <c r="D2" s="46"/>
      <c r="E2" s="46"/>
      <c r="F2" s="46"/>
      <c r="G2" s="46"/>
    </row>
    <row r="3" spans="1:7" s="7" customFormat="1" ht="24" customHeight="1" x14ac:dyDescent="0.25">
      <c r="A3" s="47" t="s">
        <v>18</v>
      </c>
      <c r="B3" s="47"/>
      <c r="C3" s="47"/>
      <c r="D3" s="47"/>
      <c r="E3" s="47"/>
      <c r="F3" s="47"/>
      <c r="G3" s="47"/>
    </row>
    <row r="4" spans="1:7" s="7" customFormat="1" ht="24" customHeight="1" x14ac:dyDescent="0.25">
      <c r="A4" s="47" t="s">
        <v>19</v>
      </c>
      <c r="B4" s="47"/>
      <c r="C4" s="47"/>
      <c r="D4" s="47"/>
      <c r="E4" s="47"/>
      <c r="F4" s="47"/>
      <c r="G4" s="47"/>
    </row>
    <row r="5" spans="1:7" s="7" customFormat="1" ht="24" customHeight="1" x14ac:dyDescent="0.25">
      <c r="A5" s="47" t="s">
        <v>23</v>
      </c>
      <c r="B5" s="47"/>
      <c r="C5" s="47"/>
      <c r="D5" s="47"/>
      <c r="E5" s="47"/>
      <c r="F5" s="47"/>
      <c r="G5" s="47"/>
    </row>
    <row r="6" spans="1:7" s="7" customFormat="1" ht="18" customHeight="1" x14ac:dyDescent="0.25">
      <c r="A6" s="6"/>
      <c r="B6" s="6"/>
      <c r="C6" s="4"/>
      <c r="D6" s="6"/>
      <c r="E6" s="6"/>
      <c r="F6" s="6"/>
      <c r="G6" s="6"/>
    </row>
    <row r="7" spans="1:7" s="7" customFormat="1" ht="38.25" customHeight="1" x14ac:dyDescent="0.25">
      <c r="A7" s="8" t="s">
        <v>0</v>
      </c>
      <c r="B7" s="8" t="s">
        <v>1</v>
      </c>
      <c r="C7" s="9" t="s">
        <v>6</v>
      </c>
      <c r="D7" s="8" t="s">
        <v>2</v>
      </c>
      <c r="E7" s="8" t="s">
        <v>3</v>
      </c>
      <c r="F7" s="10" t="s">
        <v>5</v>
      </c>
      <c r="G7" s="10" t="s">
        <v>7</v>
      </c>
    </row>
    <row r="8" spans="1:7" s="7" customFormat="1" ht="16.5" x14ac:dyDescent="0.25">
      <c r="A8" s="11">
        <v>1</v>
      </c>
      <c r="B8" s="12" t="s">
        <v>20</v>
      </c>
      <c r="C8" s="13">
        <v>5</v>
      </c>
      <c r="D8" s="11" t="s">
        <v>21</v>
      </c>
      <c r="E8" s="11"/>
      <c r="F8" s="11"/>
      <c r="G8" s="11"/>
    </row>
    <row r="9" spans="1:7" s="7" customFormat="1" ht="16.5" x14ac:dyDescent="0.25">
      <c r="A9" s="11"/>
      <c r="B9" s="12"/>
      <c r="C9" s="13"/>
      <c r="D9" s="11"/>
      <c r="E9" s="11"/>
      <c r="F9" s="11"/>
      <c r="G9" s="11"/>
    </row>
    <row r="10" spans="1:7" s="7" customFormat="1" ht="16.5" x14ac:dyDescent="0.25">
      <c r="A10" s="11"/>
      <c r="B10" s="12"/>
      <c r="C10" s="13"/>
      <c r="D10" s="11"/>
      <c r="E10" s="11"/>
      <c r="F10" s="11"/>
      <c r="G10" s="11"/>
    </row>
    <row r="11" spans="1:7" s="7" customFormat="1" ht="16.5" x14ac:dyDescent="0.25">
      <c r="A11" s="11"/>
      <c r="B11" s="12"/>
      <c r="C11" s="13"/>
      <c r="D11" s="11"/>
      <c r="E11" s="11"/>
      <c r="F11" s="11"/>
      <c r="G11" s="11"/>
    </row>
    <row r="12" spans="1:7" s="7" customFormat="1" ht="16.5" x14ac:dyDescent="0.25">
      <c r="A12" s="11"/>
      <c r="B12" s="12"/>
      <c r="C12" s="13"/>
      <c r="D12" s="11"/>
      <c r="E12" s="11"/>
      <c r="F12" s="11"/>
      <c r="G12" s="11"/>
    </row>
    <row r="13" spans="1:7" s="7" customFormat="1" ht="16.5" x14ac:dyDescent="0.25">
      <c r="A13" s="11"/>
      <c r="B13" s="14"/>
      <c r="C13" s="13"/>
      <c r="D13" s="11"/>
      <c r="E13" s="11"/>
      <c r="F13" s="11"/>
      <c r="G13" s="11"/>
    </row>
    <row r="14" spans="1:7" s="7" customFormat="1" ht="16.5" x14ac:dyDescent="0.25">
      <c r="A14" s="11"/>
      <c r="B14" s="11"/>
      <c r="C14" s="13"/>
      <c r="D14" s="11"/>
      <c r="E14" s="11"/>
      <c r="F14" s="11"/>
      <c r="G14" s="11"/>
    </row>
    <row r="15" spans="1:7" s="7" customFormat="1" ht="16.5" x14ac:dyDescent="0.25">
      <c r="A15" s="11"/>
      <c r="B15" s="11"/>
      <c r="C15" s="13"/>
      <c r="D15" s="11"/>
      <c r="E15" s="11"/>
      <c r="F15" s="11"/>
      <c r="G15" s="11"/>
    </row>
    <row r="16" spans="1:7" s="7" customFormat="1" ht="16.5" x14ac:dyDescent="0.25">
      <c r="A16" s="11"/>
      <c r="B16" s="11"/>
      <c r="C16" s="13"/>
      <c r="D16" s="11"/>
      <c r="E16" s="11"/>
      <c r="F16" s="11"/>
      <c r="G16" s="11"/>
    </row>
    <row r="17" spans="1:7" s="7" customFormat="1" ht="16.5" x14ac:dyDescent="0.25">
      <c r="A17" s="11"/>
      <c r="B17" s="11"/>
      <c r="C17" s="13"/>
      <c r="D17" s="11"/>
      <c r="E17" s="11"/>
      <c r="F17" s="11"/>
      <c r="G17" s="11"/>
    </row>
    <row r="18" spans="1:7" s="7" customFormat="1" ht="16.5" x14ac:dyDescent="0.25">
      <c r="C18" s="16"/>
    </row>
    <row r="19" spans="1:7" s="7" customFormat="1" ht="16.5" x14ac:dyDescent="0.25">
      <c r="C19" s="16"/>
    </row>
    <row r="48" spans="1:5" s="7" customFormat="1" ht="26.25" customHeight="1" x14ac:dyDescent="0.25">
      <c r="A48" s="48" t="s">
        <v>14</v>
      </c>
      <c r="B48" s="48"/>
      <c r="C48" s="48"/>
      <c r="D48" s="48"/>
      <c r="E48" s="48"/>
    </row>
    <row r="49" spans="1:7" ht="28.5" customHeight="1" x14ac:dyDescent="0.25">
      <c r="A49" s="46" t="s">
        <v>8</v>
      </c>
      <c r="B49" s="46"/>
      <c r="C49" s="46"/>
      <c r="D49" s="46"/>
      <c r="E49" s="46"/>
      <c r="F49" s="46"/>
      <c r="G49" s="46"/>
    </row>
    <row r="50" spans="1:7" s="7" customFormat="1" ht="24" customHeight="1" x14ac:dyDescent="0.25">
      <c r="A50" s="47" t="s">
        <v>18</v>
      </c>
      <c r="B50" s="47"/>
      <c r="C50" s="47"/>
      <c r="D50" s="47"/>
      <c r="E50" s="47"/>
      <c r="F50" s="47"/>
      <c r="G50" s="47"/>
    </row>
    <row r="51" spans="1:7" s="7" customFormat="1" ht="24" customHeight="1" x14ac:dyDescent="0.25">
      <c r="A51" s="47" t="s">
        <v>19</v>
      </c>
      <c r="B51" s="47"/>
      <c r="C51" s="47"/>
      <c r="D51" s="47"/>
      <c r="E51" s="47"/>
      <c r="F51" s="47"/>
      <c r="G51" s="47"/>
    </row>
    <row r="52" spans="1:7" s="7" customFormat="1" ht="24" customHeight="1" x14ac:dyDescent="0.25">
      <c r="A52" s="47" t="s">
        <v>35</v>
      </c>
      <c r="B52" s="47"/>
      <c r="C52" s="47"/>
      <c r="D52" s="47"/>
      <c r="E52" s="47"/>
      <c r="F52" s="47"/>
      <c r="G52" s="47"/>
    </row>
    <row r="53" spans="1:7" s="7" customFormat="1" ht="18" customHeight="1" x14ac:dyDescent="0.25">
      <c r="A53" s="34"/>
      <c r="B53" s="34"/>
      <c r="C53" s="4"/>
      <c r="D53" s="34"/>
      <c r="E53" s="34"/>
      <c r="F53" s="34"/>
      <c r="G53" s="34"/>
    </row>
    <row r="54" spans="1:7" s="7" customFormat="1" ht="38.25" customHeight="1" x14ac:dyDescent="0.25">
      <c r="A54" s="35" t="s">
        <v>0</v>
      </c>
      <c r="B54" s="35" t="s">
        <v>1</v>
      </c>
      <c r="C54" s="9" t="s">
        <v>6</v>
      </c>
      <c r="D54" s="35" t="s">
        <v>2</v>
      </c>
      <c r="E54" s="35" t="s">
        <v>3</v>
      </c>
      <c r="F54" s="10" t="s">
        <v>5</v>
      </c>
      <c r="G54" s="10" t="s">
        <v>7</v>
      </c>
    </row>
    <row r="55" spans="1:7" s="7" customFormat="1" ht="26.25" customHeight="1" x14ac:dyDescent="0.25">
      <c r="A55" s="23">
        <v>1</v>
      </c>
      <c r="B55" s="37">
        <v>46361</v>
      </c>
      <c r="C55" s="25">
        <v>5</v>
      </c>
      <c r="D55" s="23" t="s">
        <v>21</v>
      </c>
      <c r="E55" s="11"/>
      <c r="F55" s="11"/>
      <c r="G55" s="11"/>
    </row>
    <row r="56" spans="1:7" s="7" customFormat="1" ht="26.25" customHeight="1" x14ac:dyDescent="0.25">
      <c r="A56" s="11"/>
      <c r="B56" s="12"/>
      <c r="C56" s="13"/>
      <c r="D56" s="11"/>
      <c r="E56" s="11"/>
      <c r="F56" s="11"/>
      <c r="G56" s="11"/>
    </row>
    <row r="57" spans="1:7" s="7" customFormat="1" ht="26.25" customHeight="1" x14ac:dyDescent="0.25">
      <c r="A57" s="11"/>
      <c r="B57" s="12"/>
      <c r="C57" s="13"/>
      <c r="D57" s="11"/>
      <c r="E57" s="11"/>
      <c r="F57" s="11"/>
      <c r="G57" s="11"/>
    </row>
    <row r="58" spans="1:7" s="7" customFormat="1" ht="26.25" customHeight="1" x14ac:dyDescent="0.25">
      <c r="A58" s="11"/>
      <c r="B58" s="12"/>
      <c r="C58" s="13"/>
      <c r="D58" s="11"/>
      <c r="E58" s="11"/>
      <c r="F58" s="11"/>
      <c r="G58" s="11"/>
    </row>
    <row r="59" spans="1:7" s="7" customFormat="1" ht="26.25" customHeight="1" x14ac:dyDescent="0.25">
      <c r="A59" s="11"/>
      <c r="B59" s="12"/>
      <c r="C59" s="13"/>
      <c r="D59" s="11"/>
      <c r="E59" s="11"/>
      <c r="F59" s="11"/>
      <c r="G59" s="11"/>
    </row>
    <row r="60" spans="1:7" s="7" customFormat="1" ht="26.25" customHeight="1" x14ac:dyDescent="0.25">
      <c r="A60" s="11"/>
      <c r="B60" s="14"/>
      <c r="C60" s="13"/>
      <c r="D60" s="11"/>
      <c r="E60" s="11"/>
      <c r="F60" s="11"/>
      <c r="G60" s="11"/>
    </row>
    <row r="61" spans="1:7" s="7" customFormat="1" ht="26.25" customHeight="1" x14ac:dyDescent="0.25">
      <c r="A61" s="11"/>
      <c r="B61" s="11"/>
      <c r="C61" s="13"/>
      <c r="D61" s="11"/>
      <c r="E61" s="11"/>
      <c r="F61" s="11"/>
      <c r="G61" s="11"/>
    </row>
    <row r="62" spans="1:7" s="7" customFormat="1" ht="26.25" customHeight="1" x14ac:dyDescent="0.25">
      <c r="A62" s="11"/>
      <c r="B62" s="11"/>
      <c r="C62" s="13"/>
      <c r="D62" s="11"/>
      <c r="E62" s="11"/>
      <c r="F62" s="11"/>
      <c r="G62" s="11"/>
    </row>
    <row r="63" spans="1:7" s="7" customFormat="1" ht="26.25" customHeight="1" x14ac:dyDescent="0.25">
      <c r="A63" s="11"/>
      <c r="B63" s="11"/>
      <c r="C63" s="13"/>
      <c r="D63" s="11"/>
      <c r="E63" s="11"/>
      <c r="F63" s="11"/>
      <c r="G63" s="11"/>
    </row>
    <row r="64" spans="1:7" s="7" customFormat="1" ht="26.25" customHeight="1" x14ac:dyDescent="0.25">
      <c r="A64" s="11"/>
      <c r="B64" s="11"/>
      <c r="C64" s="13"/>
      <c r="D64" s="11"/>
      <c r="E64" s="11"/>
      <c r="F64" s="11"/>
      <c r="G64" s="11"/>
    </row>
    <row r="65" spans="3:3" s="7" customFormat="1" ht="30" customHeight="1" x14ac:dyDescent="0.25">
      <c r="C65" s="16"/>
    </row>
  </sheetData>
  <mergeCells count="10">
    <mergeCell ref="A48:E48"/>
    <mergeCell ref="A49:G49"/>
    <mergeCell ref="A50:G50"/>
    <mergeCell ref="A51:G51"/>
    <mergeCell ref="A52:G52"/>
    <mergeCell ref="A2:G2"/>
    <mergeCell ref="A3:G3"/>
    <mergeCell ref="A4:G4"/>
    <mergeCell ref="A5:G5"/>
    <mergeCell ref="A1:E1"/>
  </mergeCells>
  <pageMargins left="0.5" right="0.5" top="0.25" bottom="0.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Views>
    <sheetView topLeftCell="A28" workbookViewId="0">
      <selection activeCell="J29" sqref="J29"/>
    </sheetView>
  </sheetViews>
  <sheetFormatPr defaultRowHeight="15" x14ac:dyDescent="0.25"/>
  <cols>
    <col min="1" max="1" width="9.28515625" style="1" customWidth="1"/>
    <col min="2" max="2" width="20.140625" style="1" customWidth="1"/>
    <col min="3" max="4" width="16.7109375" style="1" customWidth="1"/>
    <col min="5" max="5" width="29.28515625" style="1" customWidth="1"/>
    <col min="6" max="16384" width="9.140625" style="1"/>
  </cols>
  <sheetData>
    <row r="1" spans="1:5" s="7" customFormat="1" ht="30" customHeight="1" x14ac:dyDescent="0.25">
      <c r="A1" s="48" t="s">
        <v>14</v>
      </c>
      <c r="B1" s="48"/>
      <c r="C1" s="48"/>
    </row>
    <row r="2" spans="1:5" ht="28.5" customHeight="1" x14ac:dyDescent="0.25">
      <c r="A2" s="46" t="s">
        <v>9</v>
      </c>
      <c r="B2" s="46"/>
      <c r="C2" s="46"/>
      <c r="D2" s="46"/>
      <c r="E2" s="46"/>
    </row>
    <row r="3" spans="1:5" s="7" customFormat="1" ht="30.75" customHeight="1" x14ac:dyDescent="0.25">
      <c r="A3" s="47" t="s">
        <v>18</v>
      </c>
      <c r="B3" s="47"/>
      <c r="C3" s="47"/>
      <c r="D3" s="47"/>
      <c r="E3" s="47"/>
    </row>
    <row r="4" spans="1:5" s="7" customFormat="1" ht="30.75" customHeight="1" x14ac:dyDescent="0.25">
      <c r="A4" s="47" t="s">
        <v>19</v>
      </c>
      <c r="B4" s="47"/>
      <c r="C4" s="47"/>
      <c r="D4" s="47"/>
      <c r="E4" s="47"/>
    </row>
    <row r="5" spans="1:5" s="7" customFormat="1" ht="30.75" customHeight="1" x14ac:dyDescent="0.25">
      <c r="A5" s="47" t="s">
        <v>24</v>
      </c>
      <c r="B5" s="47"/>
      <c r="C5" s="47"/>
      <c r="D5" s="47"/>
      <c r="E5" s="47"/>
    </row>
    <row r="6" spans="1:5" s="7" customFormat="1" ht="33" customHeight="1" x14ac:dyDescent="0.25">
      <c r="A6" s="21"/>
      <c r="B6" s="21"/>
      <c r="C6" s="21"/>
      <c r="D6" s="21"/>
      <c r="E6" s="21"/>
    </row>
    <row r="7" spans="1:5" s="7" customFormat="1" ht="40.5" customHeight="1" x14ac:dyDescent="0.25">
      <c r="A7" s="8" t="s">
        <v>0</v>
      </c>
      <c r="B7" s="8" t="s">
        <v>1</v>
      </c>
      <c r="C7" s="10" t="s">
        <v>6</v>
      </c>
      <c r="D7" s="8" t="s">
        <v>2</v>
      </c>
      <c r="E7" s="8" t="s">
        <v>10</v>
      </c>
    </row>
    <row r="8" spans="1:5" s="7" customFormat="1" ht="29.25" customHeight="1" x14ac:dyDescent="0.25">
      <c r="A8" s="23">
        <v>1</v>
      </c>
      <c r="B8" s="24" t="s">
        <v>20</v>
      </c>
      <c r="C8" s="25">
        <v>5</v>
      </c>
      <c r="D8" s="23" t="s">
        <v>21</v>
      </c>
      <c r="E8" s="15"/>
    </row>
    <row r="9" spans="1:5" s="7" customFormat="1" ht="29.25" customHeight="1" x14ac:dyDescent="0.25">
      <c r="A9" s="11"/>
      <c r="B9" s="12"/>
      <c r="C9" s="13"/>
      <c r="D9" s="11"/>
      <c r="E9" s="15"/>
    </row>
    <row r="10" spans="1:5" s="7" customFormat="1" ht="29.25" customHeight="1" x14ac:dyDescent="0.25">
      <c r="A10" s="11"/>
      <c r="B10" s="12"/>
      <c r="C10" s="13"/>
      <c r="D10" s="11"/>
      <c r="E10" s="15"/>
    </row>
    <row r="11" spans="1:5" s="7" customFormat="1" ht="29.25" customHeight="1" x14ac:dyDescent="0.25">
      <c r="A11" s="11"/>
      <c r="B11" s="12"/>
      <c r="C11" s="13"/>
      <c r="D11" s="11"/>
      <c r="E11" s="15"/>
    </row>
    <row r="12" spans="1:5" s="7" customFormat="1" ht="29.25" customHeight="1" x14ac:dyDescent="0.25">
      <c r="A12" s="11"/>
      <c r="B12" s="12"/>
      <c r="C12" s="13"/>
      <c r="D12" s="11"/>
      <c r="E12" s="15"/>
    </row>
    <row r="13" spans="1:5" s="7" customFormat="1" ht="29.25" customHeight="1" x14ac:dyDescent="0.25">
      <c r="A13" s="11"/>
      <c r="B13" s="12"/>
      <c r="C13" s="13"/>
      <c r="D13" s="11"/>
      <c r="E13" s="15"/>
    </row>
    <row r="14" spans="1:5" s="7" customFormat="1" ht="29.25" customHeight="1" x14ac:dyDescent="0.25">
      <c r="A14" s="11"/>
      <c r="B14" s="12"/>
      <c r="C14" s="13"/>
      <c r="D14" s="11"/>
      <c r="E14" s="15"/>
    </row>
    <row r="15" spans="1:5" s="7" customFormat="1" ht="29.25" customHeight="1" x14ac:dyDescent="0.25">
      <c r="A15" s="22"/>
      <c r="B15" s="22"/>
      <c r="C15" s="22"/>
      <c r="D15" s="22"/>
      <c r="E15" s="22"/>
    </row>
    <row r="16" spans="1:5" s="7" customFormat="1" ht="16.5" x14ac:dyDescent="0.25">
      <c r="D16" s="49" t="s">
        <v>4</v>
      </c>
      <c r="E16" s="49"/>
    </row>
    <row r="17" spans="1:5" s="7" customFormat="1" ht="181.5" customHeight="1" x14ac:dyDescent="0.25"/>
    <row r="18" spans="1:5" s="7" customFormat="1" ht="16.5" x14ac:dyDescent="0.25"/>
    <row r="27" spans="1:5" s="7" customFormat="1" ht="30" customHeight="1" x14ac:dyDescent="0.25">
      <c r="A27" s="48" t="s">
        <v>14</v>
      </c>
      <c r="B27" s="48"/>
      <c r="C27" s="48"/>
    </row>
    <row r="28" spans="1:5" ht="28.5" customHeight="1" x14ac:dyDescent="0.25">
      <c r="A28" s="46" t="s">
        <v>9</v>
      </c>
      <c r="B28" s="46"/>
      <c r="C28" s="46"/>
      <c r="D28" s="46"/>
      <c r="E28" s="46"/>
    </row>
    <row r="29" spans="1:5" s="7" customFormat="1" ht="30.75" customHeight="1" x14ac:dyDescent="0.25">
      <c r="A29" s="47" t="s">
        <v>18</v>
      </c>
      <c r="B29" s="47"/>
      <c r="C29" s="47"/>
      <c r="D29" s="47"/>
      <c r="E29" s="47"/>
    </row>
    <row r="30" spans="1:5" s="7" customFormat="1" ht="30.75" customHeight="1" x14ac:dyDescent="0.25">
      <c r="A30" s="47" t="s">
        <v>19</v>
      </c>
      <c r="B30" s="47"/>
      <c r="C30" s="47"/>
      <c r="D30" s="47"/>
      <c r="E30" s="47"/>
    </row>
    <row r="31" spans="1:5" s="7" customFormat="1" ht="30.75" customHeight="1" x14ac:dyDescent="0.25">
      <c r="A31" s="47" t="s">
        <v>36</v>
      </c>
      <c r="B31" s="47"/>
      <c r="C31" s="47"/>
      <c r="D31" s="47"/>
      <c r="E31" s="47"/>
    </row>
    <row r="32" spans="1:5" s="7" customFormat="1" ht="33" customHeight="1" x14ac:dyDescent="0.25">
      <c r="A32" s="34"/>
      <c r="B32" s="34"/>
      <c r="C32" s="34"/>
      <c r="D32" s="34"/>
      <c r="E32" s="34"/>
    </row>
    <row r="33" spans="1:5" s="7" customFormat="1" ht="40.5" customHeight="1" x14ac:dyDescent="0.25">
      <c r="A33" s="35" t="s">
        <v>0</v>
      </c>
      <c r="B33" s="35" t="s">
        <v>1</v>
      </c>
      <c r="C33" s="10" t="s">
        <v>6</v>
      </c>
      <c r="D33" s="35" t="s">
        <v>2</v>
      </c>
      <c r="E33" s="35" t="s">
        <v>10</v>
      </c>
    </row>
    <row r="34" spans="1:5" s="7" customFormat="1" ht="29.25" customHeight="1" x14ac:dyDescent="0.25">
      <c r="A34" s="11">
        <v>1</v>
      </c>
      <c r="B34" s="36">
        <v>46361</v>
      </c>
      <c r="C34" s="13">
        <v>5</v>
      </c>
      <c r="D34" s="11" t="s">
        <v>21</v>
      </c>
      <c r="E34" s="15"/>
    </row>
    <row r="35" spans="1:5" s="7" customFormat="1" ht="29.25" customHeight="1" x14ac:dyDescent="0.25">
      <c r="A35" s="11"/>
      <c r="B35" s="12"/>
      <c r="C35" s="13"/>
      <c r="D35" s="11"/>
      <c r="E35" s="15"/>
    </row>
    <row r="36" spans="1:5" s="7" customFormat="1" ht="29.25" customHeight="1" x14ac:dyDescent="0.25">
      <c r="A36" s="11"/>
      <c r="B36" s="12"/>
      <c r="C36" s="13"/>
      <c r="D36" s="11"/>
      <c r="E36" s="15"/>
    </row>
    <row r="37" spans="1:5" s="7" customFormat="1" ht="29.25" customHeight="1" x14ac:dyDescent="0.25">
      <c r="A37" s="11"/>
      <c r="B37" s="12"/>
      <c r="C37" s="13"/>
      <c r="D37" s="11"/>
      <c r="E37" s="15"/>
    </row>
    <row r="38" spans="1:5" s="7" customFormat="1" ht="29.25" customHeight="1" x14ac:dyDescent="0.25">
      <c r="A38" s="11"/>
      <c r="B38" s="12"/>
      <c r="C38" s="13"/>
      <c r="D38" s="11"/>
      <c r="E38" s="15"/>
    </row>
    <row r="39" spans="1:5" s="7" customFormat="1" ht="29.25" customHeight="1" x14ac:dyDescent="0.25">
      <c r="A39" s="11"/>
      <c r="B39" s="12"/>
      <c r="C39" s="13"/>
      <c r="D39" s="11"/>
      <c r="E39" s="15"/>
    </row>
    <row r="40" spans="1:5" s="7" customFormat="1" ht="29.25" customHeight="1" x14ac:dyDescent="0.25">
      <c r="A40" s="11"/>
      <c r="B40" s="12"/>
      <c r="C40" s="13"/>
      <c r="D40" s="11"/>
      <c r="E40" s="15"/>
    </row>
    <row r="41" spans="1:5" s="7" customFormat="1" ht="29.25" customHeight="1" x14ac:dyDescent="0.25">
      <c r="A41" s="11"/>
      <c r="B41" s="12"/>
      <c r="C41" s="13"/>
      <c r="D41" s="11"/>
      <c r="E41" s="15"/>
    </row>
    <row r="42" spans="1:5" s="7" customFormat="1" ht="29.25" customHeight="1" x14ac:dyDescent="0.25">
      <c r="A42" s="11"/>
      <c r="B42" s="12"/>
      <c r="C42" s="13"/>
      <c r="D42" s="11"/>
      <c r="E42" s="15"/>
    </row>
    <row r="43" spans="1:5" s="7" customFormat="1" ht="29.25" customHeight="1" x14ac:dyDescent="0.25">
      <c r="A43" s="11"/>
      <c r="B43" s="12"/>
      <c r="C43" s="13"/>
      <c r="D43" s="11"/>
      <c r="E43" s="15"/>
    </row>
    <row r="44" spans="1:5" s="7" customFormat="1" ht="29.25" customHeight="1" x14ac:dyDescent="0.25">
      <c r="A44" s="11"/>
      <c r="B44" s="12"/>
      <c r="C44" s="13"/>
      <c r="D44" s="11"/>
      <c r="E44" s="15"/>
    </row>
    <row r="45" spans="1:5" s="7" customFormat="1" ht="29.25" customHeight="1" x14ac:dyDescent="0.25">
      <c r="A45" s="15"/>
      <c r="B45" s="15"/>
      <c r="C45" s="15"/>
      <c r="D45" s="15"/>
      <c r="E45" s="15"/>
    </row>
    <row r="46" spans="1:5" s="7" customFormat="1" ht="29.25" customHeight="1" x14ac:dyDescent="0.25">
      <c r="A46" s="22"/>
      <c r="B46" s="22"/>
      <c r="C46" s="22"/>
      <c r="D46" s="22"/>
      <c r="E46" s="22"/>
    </row>
    <row r="47" spans="1:5" s="7" customFormat="1" ht="16.5" x14ac:dyDescent="0.25">
      <c r="D47" s="49" t="s">
        <v>4</v>
      </c>
      <c r="E47" s="49"/>
    </row>
  </sheetData>
  <mergeCells count="12">
    <mergeCell ref="D47:E47"/>
    <mergeCell ref="A27:C27"/>
    <mergeCell ref="A28:E28"/>
    <mergeCell ref="A29:E29"/>
    <mergeCell ref="A30:E30"/>
    <mergeCell ref="A31:E31"/>
    <mergeCell ref="D16:E16"/>
    <mergeCell ref="A1:C1"/>
    <mergeCell ref="A2:E2"/>
    <mergeCell ref="A3:E3"/>
    <mergeCell ref="A4:E4"/>
    <mergeCell ref="A5:E5"/>
  </mergeCells>
  <pageMargins left="0.5" right="0.5" top="0.25" bottom="0.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tabSelected="1" topLeftCell="A46" workbookViewId="0">
      <selection activeCell="J53" sqref="J53"/>
    </sheetView>
  </sheetViews>
  <sheetFormatPr defaultRowHeight="15" x14ac:dyDescent="0.25"/>
  <cols>
    <col min="1" max="1" width="7.7109375" style="1" customWidth="1"/>
    <col min="2" max="2" width="19.28515625" style="1" customWidth="1"/>
    <col min="3" max="3" width="11" style="1" customWidth="1"/>
    <col min="4" max="4" width="10.28515625" style="1" customWidth="1"/>
    <col min="5" max="5" width="19.85546875" style="18" customWidth="1"/>
    <col min="6" max="6" width="24.140625" style="5" customWidth="1"/>
    <col min="7" max="16384" width="9.140625" style="1"/>
  </cols>
  <sheetData>
    <row r="1" spans="1:6" ht="27" customHeight="1" x14ac:dyDescent="0.25">
      <c r="A1" s="50" t="s">
        <v>14</v>
      </c>
      <c r="B1" s="50"/>
      <c r="C1" s="50"/>
      <c r="D1" s="50"/>
    </row>
    <row r="3" spans="1:6" ht="28.5" customHeight="1" x14ac:dyDescent="0.25">
      <c r="A3" s="46" t="s">
        <v>11</v>
      </c>
      <c r="B3" s="46"/>
      <c r="C3" s="46"/>
      <c r="D3" s="46"/>
      <c r="E3" s="46"/>
      <c r="F3" s="46"/>
    </row>
    <row r="4" spans="1:6" ht="24" customHeight="1" x14ac:dyDescent="0.25">
      <c r="A4" s="47" t="s">
        <v>18</v>
      </c>
      <c r="B4" s="47"/>
      <c r="C4" s="47"/>
      <c r="D4" s="47"/>
      <c r="E4" s="47"/>
      <c r="F4" s="47"/>
    </row>
    <row r="5" spans="1:6" ht="24" customHeight="1" x14ac:dyDescent="0.25">
      <c r="A5" s="47" t="s">
        <v>19</v>
      </c>
      <c r="B5" s="47"/>
      <c r="C5" s="47"/>
      <c r="D5" s="47"/>
      <c r="E5" s="47"/>
      <c r="F5" s="47"/>
    </row>
    <row r="6" spans="1:6" ht="24" customHeight="1" x14ac:dyDescent="0.25">
      <c r="A6" s="48" t="s">
        <v>15</v>
      </c>
      <c r="B6" s="48"/>
      <c r="C6" s="48"/>
      <c r="D6" s="48"/>
      <c r="E6" s="48"/>
      <c r="F6" s="48"/>
    </row>
    <row r="7" spans="1:6" ht="24" customHeight="1" x14ac:dyDescent="0.25">
      <c r="A7" s="51" t="s">
        <v>16</v>
      </c>
      <c r="B7" s="51"/>
      <c r="C7" s="51"/>
      <c r="D7" s="51"/>
      <c r="E7" s="51"/>
      <c r="F7" s="51"/>
    </row>
    <row r="8" spans="1:6" ht="24" customHeight="1" x14ac:dyDescent="0.25">
      <c r="A8" s="47" t="s">
        <v>17</v>
      </c>
      <c r="B8" s="47"/>
      <c r="C8" s="47"/>
      <c r="D8" s="47"/>
      <c r="E8" s="47"/>
      <c r="F8" s="47"/>
    </row>
    <row r="9" spans="1:6" ht="24" customHeight="1" x14ac:dyDescent="0.25">
      <c r="A9" s="51" t="s">
        <v>22</v>
      </c>
      <c r="B9" s="51"/>
      <c r="C9" s="51"/>
      <c r="D9" s="51"/>
      <c r="E9" s="51"/>
      <c r="F9" s="51"/>
    </row>
    <row r="10" spans="1:6" ht="24" customHeight="1" x14ac:dyDescent="0.25">
      <c r="A10" s="47" t="s">
        <v>33</v>
      </c>
      <c r="B10" s="47"/>
      <c r="C10" s="47"/>
      <c r="D10" s="47"/>
      <c r="E10" s="47"/>
      <c r="F10" s="47"/>
    </row>
    <row r="11" spans="1:6" ht="24" customHeight="1" x14ac:dyDescent="0.25">
      <c r="A11" s="47" t="s">
        <v>25</v>
      </c>
      <c r="B11" s="47"/>
      <c r="C11" s="47"/>
      <c r="D11" s="47"/>
      <c r="E11" s="47"/>
      <c r="F11" s="47"/>
    </row>
    <row r="12" spans="1:6" ht="17.25" customHeight="1" x14ac:dyDescent="0.25">
      <c r="A12" s="53"/>
      <c r="B12" s="53"/>
      <c r="C12" s="53"/>
      <c r="D12" s="53"/>
      <c r="E12" s="53"/>
      <c r="F12" s="53"/>
    </row>
    <row r="13" spans="1:6" ht="38.25" customHeight="1" x14ac:dyDescent="0.25">
      <c r="A13" s="2" t="s">
        <v>0</v>
      </c>
      <c r="B13" s="2" t="s">
        <v>1</v>
      </c>
      <c r="C13" s="3" t="s">
        <v>6</v>
      </c>
      <c r="D13" s="2" t="s">
        <v>2</v>
      </c>
      <c r="E13" s="17" t="s">
        <v>12</v>
      </c>
      <c r="F13" s="19" t="s">
        <v>13</v>
      </c>
    </row>
    <row r="14" spans="1:6" ht="33" customHeight="1" x14ac:dyDescent="0.25">
      <c r="A14" s="2"/>
      <c r="B14" s="26" t="s">
        <v>28</v>
      </c>
      <c r="C14" s="55" t="s">
        <v>27</v>
      </c>
      <c r="D14" s="56"/>
      <c r="E14" s="57"/>
      <c r="F14" s="27">
        <v>22230000</v>
      </c>
    </row>
    <row r="15" spans="1:6" ht="33" customHeight="1" x14ac:dyDescent="0.25">
      <c r="A15" s="23">
        <v>1</v>
      </c>
      <c r="B15" s="24" t="s">
        <v>20</v>
      </c>
      <c r="C15" s="25">
        <v>5</v>
      </c>
      <c r="D15" s="23" t="s">
        <v>21</v>
      </c>
      <c r="E15" s="25">
        <v>1920000</v>
      </c>
      <c r="F15" s="33">
        <f>C15*E15</f>
        <v>9600000</v>
      </c>
    </row>
    <row r="16" spans="1:6" ht="33" customHeight="1" x14ac:dyDescent="0.25">
      <c r="A16" s="28"/>
      <c r="B16" s="8" t="s">
        <v>30</v>
      </c>
      <c r="C16" s="58" t="s">
        <v>29</v>
      </c>
      <c r="D16" s="58"/>
      <c r="E16" s="58"/>
      <c r="F16" s="32">
        <f>SUM(F15:F15)</f>
        <v>9600000</v>
      </c>
    </row>
    <row r="17" spans="1:6" ht="33" customHeight="1" x14ac:dyDescent="0.25">
      <c r="A17" s="20"/>
      <c r="B17" s="8" t="s">
        <v>31</v>
      </c>
      <c r="C17" s="59" t="s">
        <v>32</v>
      </c>
      <c r="D17" s="59"/>
      <c r="E17" s="59"/>
      <c r="F17" s="32">
        <f>F14+F16</f>
        <v>31830000</v>
      </c>
    </row>
    <row r="18" spans="1:6" ht="16.5" customHeight="1" x14ac:dyDescent="0.25">
      <c r="A18" s="29"/>
      <c r="B18" s="30"/>
      <c r="C18" s="30"/>
      <c r="D18" s="30"/>
      <c r="E18" s="30"/>
      <c r="F18" s="31"/>
    </row>
    <row r="19" spans="1:6" x14ac:dyDescent="0.25">
      <c r="A19" s="54" t="s">
        <v>26</v>
      </c>
      <c r="B19" s="54"/>
      <c r="C19" s="54"/>
      <c r="D19" s="54"/>
      <c r="E19" s="54"/>
      <c r="F19" s="54"/>
    </row>
    <row r="20" spans="1:6" ht="37.5" customHeight="1" x14ac:dyDescent="0.25">
      <c r="A20" s="54"/>
      <c r="B20" s="54"/>
      <c r="C20" s="54"/>
      <c r="D20" s="54"/>
      <c r="E20" s="54"/>
      <c r="F20" s="54"/>
    </row>
    <row r="22" spans="1:6" ht="23.25" customHeight="1" x14ac:dyDescent="0.25">
      <c r="E22" s="52" t="s">
        <v>34</v>
      </c>
      <c r="F22" s="52"/>
    </row>
    <row r="24" spans="1:6" ht="16.5" x14ac:dyDescent="0.25">
      <c r="A24" s="51" t="s">
        <v>39</v>
      </c>
      <c r="B24" s="51"/>
      <c r="C24" s="51"/>
      <c r="D24" s="51"/>
      <c r="E24" s="51"/>
      <c r="F24" s="51"/>
    </row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spans="1:6" ht="15.75" customHeight="1" x14ac:dyDescent="0.25"/>
    <row r="34" spans="1:6" ht="15.75" customHeight="1" x14ac:dyDescent="0.25"/>
    <row r="35" spans="1:6" ht="15.75" customHeight="1" x14ac:dyDescent="0.25"/>
    <row r="36" spans="1:6" ht="15.75" customHeight="1" x14ac:dyDescent="0.25"/>
    <row r="37" spans="1:6" ht="15.75" customHeight="1" x14ac:dyDescent="0.25"/>
    <row r="38" spans="1:6" ht="15.75" customHeight="1" x14ac:dyDescent="0.25"/>
    <row r="39" spans="1:6" ht="27" customHeight="1" x14ac:dyDescent="0.25">
      <c r="A39" s="50" t="s">
        <v>14</v>
      </c>
      <c r="B39" s="50"/>
      <c r="C39" s="50"/>
      <c r="D39" s="50"/>
    </row>
    <row r="41" spans="1:6" ht="28.5" customHeight="1" x14ac:dyDescent="0.25">
      <c r="A41" s="46" t="s">
        <v>11</v>
      </c>
      <c r="B41" s="46"/>
      <c r="C41" s="46"/>
      <c r="D41" s="46"/>
      <c r="E41" s="46"/>
      <c r="F41" s="46"/>
    </row>
    <row r="42" spans="1:6" ht="24" customHeight="1" x14ac:dyDescent="0.25">
      <c r="A42" s="47" t="s">
        <v>18</v>
      </c>
      <c r="B42" s="47"/>
      <c r="C42" s="47"/>
      <c r="D42" s="47"/>
      <c r="E42" s="47"/>
      <c r="F42" s="47"/>
    </row>
    <row r="43" spans="1:6" ht="24" customHeight="1" x14ac:dyDescent="0.25">
      <c r="A43" s="47" t="s">
        <v>19</v>
      </c>
      <c r="B43" s="47"/>
      <c r="C43" s="47"/>
      <c r="D43" s="47"/>
      <c r="E43" s="47"/>
      <c r="F43" s="47"/>
    </row>
    <row r="44" spans="1:6" ht="24" customHeight="1" x14ac:dyDescent="0.25">
      <c r="A44" s="48" t="s">
        <v>15</v>
      </c>
      <c r="B44" s="48"/>
      <c r="C44" s="48"/>
      <c r="D44" s="48"/>
      <c r="E44" s="48"/>
      <c r="F44" s="48"/>
    </row>
    <row r="45" spans="1:6" ht="24" customHeight="1" x14ac:dyDescent="0.25">
      <c r="A45" s="51" t="s">
        <v>16</v>
      </c>
      <c r="B45" s="51"/>
      <c r="C45" s="51"/>
      <c r="D45" s="51"/>
      <c r="E45" s="51"/>
      <c r="F45" s="51"/>
    </row>
    <row r="46" spans="1:6" ht="24" customHeight="1" x14ac:dyDescent="0.25">
      <c r="A46" s="47" t="s">
        <v>17</v>
      </c>
      <c r="B46" s="47"/>
      <c r="C46" s="47"/>
      <c r="D46" s="47"/>
      <c r="E46" s="47"/>
      <c r="F46" s="47"/>
    </row>
    <row r="47" spans="1:6" ht="24" customHeight="1" x14ac:dyDescent="0.25">
      <c r="A47" s="51" t="s">
        <v>22</v>
      </c>
      <c r="B47" s="51"/>
      <c r="C47" s="51"/>
      <c r="D47" s="51"/>
      <c r="E47" s="51"/>
      <c r="F47" s="51"/>
    </row>
    <row r="48" spans="1:6" ht="24" customHeight="1" x14ac:dyDescent="0.25">
      <c r="A48" s="47" t="s">
        <v>33</v>
      </c>
      <c r="B48" s="47"/>
      <c r="C48" s="47"/>
      <c r="D48" s="47"/>
      <c r="E48" s="47"/>
      <c r="F48" s="47"/>
    </row>
    <row r="49" spans="1:6" ht="24" customHeight="1" x14ac:dyDescent="0.25">
      <c r="A49" s="47" t="s">
        <v>37</v>
      </c>
      <c r="B49" s="47"/>
      <c r="C49" s="47"/>
      <c r="D49" s="47"/>
      <c r="E49" s="47"/>
      <c r="F49" s="47"/>
    </row>
    <row r="50" spans="1:6" ht="17.25" customHeight="1" x14ac:dyDescent="0.25">
      <c r="A50" s="53"/>
      <c r="B50" s="53"/>
      <c r="C50" s="53"/>
      <c r="D50" s="53"/>
      <c r="E50" s="53"/>
      <c r="F50" s="53"/>
    </row>
    <row r="51" spans="1:6" ht="38.25" customHeight="1" x14ac:dyDescent="0.25">
      <c r="A51" s="2" t="s">
        <v>0</v>
      </c>
      <c r="B51" s="2" t="s">
        <v>1</v>
      </c>
      <c r="C51" s="3" t="s">
        <v>6</v>
      </c>
      <c r="D51" s="2" t="s">
        <v>2</v>
      </c>
      <c r="E51" s="17" t="s">
        <v>12</v>
      </c>
      <c r="F51" s="19" t="s">
        <v>13</v>
      </c>
    </row>
    <row r="52" spans="1:6" ht="33" customHeight="1" x14ac:dyDescent="0.25">
      <c r="A52" s="26" t="s">
        <v>28</v>
      </c>
      <c r="B52" s="26"/>
      <c r="C52" s="55" t="s">
        <v>38</v>
      </c>
      <c r="D52" s="56"/>
      <c r="E52" s="57"/>
      <c r="F52" s="27">
        <v>31830000</v>
      </c>
    </row>
    <row r="53" spans="1:6" ht="33" customHeight="1" x14ac:dyDescent="0.25">
      <c r="A53" s="23">
        <v>1</v>
      </c>
      <c r="B53" s="37">
        <v>46361</v>
      </c>
      <c r="C53" s="25">
        <v>5</v>
      </c>
      <c r="D53" s="23" t="s">
        <v>21</v>
      </c>
      <c r="E53" s="25">
        <v>1920000</v>
      </c>
      <c r="F53" s="33">
        <f>C53*E53</f>
        <v>9600000</v>
      </c>
    </row>
    <row r="54" spans="1:6" ht="33" customHeight="1" x14ac:dyDescent="0.25">
      <c r="A54" s="39" t="s">
        <v>30</v>
      </c>
      <c r="B54" s="40" t="s">
        <v>29</v>
      </c>
      <c r="C54" s="38">
        <f>C53</f>
        <v>5</v>
      </c>
      <c r="D54" s="32"/>
      <c r="E54" s="32"/>
      <c r="F54" s="32">
        <f>SUM(F53:F53)</f>
        <v>9600000</v>
      </c>
    </row>
    <row r="55" spans="1:6" ht="33" customHeight="1" x14ac:dyDescent="0.25">
      <c r="A55" s="43" t="s">
        <v>40</v>
      </c>
      <c r="B55" s="44" t="s">
        <v>41</v>
      </c>
      <c r="C55" s="44"/>
      <c r="D55" s="44"/>
      <c r="E55" s="44"/>
      <c r="F55" s="45">
        <v>30000000</v>
      </c>
    </row>
    <row r="56" spans="1:6" ht="33" customHeight="1" x14ac:dyDescent="0.25">
      <c r="A56" s="39" t="s">
        <v>31</v>
      </c>
      <c r="B56" s="41" t="s">
        <v>32</v>
      </c>
      <c r="C56" s="42"/>
      <c r="D56" s="42"/>
      <c r="E56" s="42"/>
      <c r="F56" s="32">
        <f>F52+F54-F55</f>
        <v>11430000</v>
      </c>
    </row>
    <row r="57" spans="1:6" ht="16.5" customHeight="1" x14ac:dyDescent="0.25">
      <c r="A57" s="29"/>
      <c r="B57" s="30"/>
      <c r="C57" s="30"/>
      <c r="D57" s="30"/>
      <c r="E57" s="30"/>
      <c r="F57" s="31"/>
    </row>
    <row r="58" spans="1:6" x14ac:dyDescent="0.25">
      <c r="A58" s="54" t="s">
        <v>26</v>
      </c>
      <c r="B58" s="54"/>
      <c r="C58" s="54"/>
      <c r="D58" s="54"/>
      <c r="E58" s="54"/>
      <c r="F58" s="54"/>
    </row>
    <row r="59" spans="1:6" ht="37.5" customHeight="1" x14ac:dyDescent="0.25">
      <c r="A59" s="54"/>
      <c r="B59" s="54"/>
      <c r="C59" s="54"/>
      <c r="D59" s="54"/>
      <c r="E59" s="54"/>
      <c r="F59" s="54"/>
    </row>
    <row r="61" spans="1:6" ht="23.25" customHeight="1" x14ac:dyDescent="0.25">
      <c r="E61" s="52" t="s">
        <v>34</v>
      </c>
      <c r="F61" s="52"/>
    </row>
    <row r="63" spans="1:6" ht="16.5" x14ac:dyDescent="0.25">
      <c r="A63" s="51" t="s">
        <v>39</v>
      </c>
      <c r="B63" s="51"/>
      <c r="C63" s="51"/>
      <c r="D63" s="51"/>
      <c r="E63" s="51"/>
      <c r="F63" s="51"/>
    </row>
  </sheetData>
  <mergeCells count="32">
    <mergeCell ref="E61:F61"/>
    <mergeCell ref="A63:F63"/>
    <mergeCell ref="A50:F50"/>
    <mergeCell ref="C52:E52"/>
    <mergeCell ref="A58:F59"/>
    <mergeCell ref="A45:F45"/>
    <mergeCell ref="A46:F46"/>
    <mergeCell ref="A47:F47"/>
    <mergeCell ref="A48:F48"/>
    <mergeCell ref="A49:F49"/>
    <mergeCell ref="A39:D39"/>
    <mergeCell ref="A41:F41"/>
    <mergeCell ref="A42:F42"/>
    <mergeCell ref="A43:F43"/>
    <mergeCell ref="A44:F44"/>
    <mergeCell ref="E22:F22"/>
    <mergeCell ref="A11:F11"/>
    <mergeCell ref="A12:F12"/>
    <mergeCell ref="A24:F24"/>
    <mergeCell ref="A9:F9"/>
    <mergeCell ref="A10:F10"/>
    <mergeCell ref="A19:F20"/>
    <mergeCell ref="C14:E14"/>
    <mergeCell ref="C16:E16"/>
    <mergeCell ref="C17:E17"/>
    <mergeCell ref="A1:D1"/>
    <mergeCell ref="A6:F6"/>
    <mergeCell ref="A7:F7"/>
    <mergeCell ref="A8:F8"/>
    <mergeCell ref="A3:F3"/>
    <mergeCell ref="A4:F4"/>
    <mergeCell ref="A5:F5"/>
  </mergeCells>
  <pageMargins left="0.5" right="0.5" top="0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Vật tư ngày</vt:lpstr>
      <vt:lpstr>Vật tư tháng</vt:lpstr>
      <vt:lpstr>Đối chiếu công nợ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2026-07-10T02:08:41Z</dcterms:modified>
</cp:coreProperties>
</file>