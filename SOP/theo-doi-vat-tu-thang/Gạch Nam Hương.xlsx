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2"/>
  </bookViews>
  <sheets>
    <sheet name="SGV" sheetId="4" state="veryHidden" r:id="rId1"/>
    <sheet name="Vật tư ngày" sheetId="1" r:id="rId2"/>
    <sheet name="Vật tư tháng" sheetId="2" r:id="rId3"/>
    <sheet name="Đối chiếu công nợ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7" i="3" l="1"/>
  <c r="F91" i="3"/>
  <c r="F90" i="3"/>
  <c r="F89" i="3"/>
  <c r="F97" i="3" l="1"/>
  <c r="F99" i="3" s="1"/>
  <c r="F60" i="3"/>
  <c r="C58" i="3"/>
  <c r="F49" i="3" l="1"/>
  <c r="F52" i="3"/>
  <c r="F51" i="3"/>
  <c r="F50" i="3"/>
  <c r="F58" i="3" l="1"/>
  <c r="F14" i="3"/>
  <c r="C24" i="3" l="1"/>
  <c r="F22" i="3" l="1"/>
  <c r="F18" i="3" l="1"/>
  <c r="F21" i="3" l="1"/>
  <c r="F16" i="3" l="1"/>
  <c r="F17" i="3"/>
  <c r="F19" i="3"/>
  <c r="F20" i="3"/>
  <c r="F15" i="3"/>
  <c r="F23" i="3" l="1"/>
  <c r="F24" i="3" s="1"/>
</calcChain>
</file>

<file path=xl/sharedStrings.xml><?xml version="1.0" encoding="utf-8"?>
<sst xmlns="http://schemas.openxmlformats.org/spreadsheetml/2006/main" count="231" uniqueCount="66">
  <si>
    <t>STT</t>
  </si>
  <si>
    <t>Ngày/tháng/năm</t>
  </si>
  <si>
    <t>ĐVT</t>
  </si>
  <si>
    <t>Cán bộ vật tư</t>
  </si>
  <si>
    <t>Kế toán phụ trách</t>
  </si>
  <si>
    <t>Chỉ huy 
công trường</t>
  </si>
  <si>
    <t>Khối
 lượng</t>
  </si>
  <si>
    <t>Kế toán
 phụ trách</t>
  </si>
  <si>
    <t>BẢNG THEO DÕI HÀNG NGÀY</t>
  </si>
  <si>
    <t>BẢNG TỔNG HỢP VẬT TƯ THÁNG</t>
  </si>
  <si>
    <t>Ghi chú</t>
  </si>
  <si>
    <t>BẢNG ĐỐI CHIẾU CÔNG NỢ</t>
  </si>
  <si>
    <t>Đơn giá</t>
  </si>
  <si>
    <t>Thành tiền</t>
  </si>
  <si>
    <t>CÔNG TY CP XÂY DỰNG NGÔ QUYỀN</t>
  </si>
  <si>
    <t>Chúng tôi gồm các bên:</t>
  </si>
  <si>
    <t>Đại diện: Công ty CP Xây dựng Ngô Quyền ( Bên mua )</t>
  </si>
  <si>
    <t>Đại diện: Công ty TNHH Nam Hương ( Bên bán )</t>
  </si>
  <si>
    <t>Ông: Nguyễn Hoàng Sơn            Chức vụ: CB Vật tư</t>
  </si>
  <si>
    <t>Công trình: Trại Chuối</t>
  </si>
  <si>
    <t>08/4/2026</t>
  </si>
  <si>
    <t>viên</t>
  </si>
  <si>
    <t>06/4/2026</t>
  </si>
  <si>
    <t xml:space="preserve">   Đại diện bên bán                                Kế toán phụ trách                                    Phó giám đốc</t>
  </si>
  <si>
    <t>Ngày chốt khối lượng của tháng: Từ ngày 01 đến ngày 26/4/2026</t>
  </si>
  <si>
    <t>Tên vật tư: Gạch đặc A1</t>
  </si>
  <si>
    <t>16/4/2026</t>
  </si>
  <si>
    <t>19/4/2025</t>
  </si>
  <si>
    <t>24/4/2026</t>
  </si>
  <si>
    <t>19/4/2026</t>
  </si>
  <si>
    <t>13/4/2026</t>
  </si>
  <si>
    <t>27/4/2026</t>
  </si>
  <si>
    <t>Tháng: 04/2026</t>
  </si>
  <si>
    <t>Kính đề nghị quý Công ty TNHH Nam Hương kiểm tra và ký xác nhận đối chiếu công nợ vật tư tháng ( nếu có gì cần điều chỉnh xin liên hệ với Cán bộ vật tư hiện đang làm việc với quý Công ty để làm rõ )</t>
  </si>
  <si>
    <t>Số công nợ gạch xây từ ngày 01/04/2026 đến hết ngày 27/04/2026 như sau:</t>
  </si>
  <si>
    <t>Dư nợ mang sang: Hết 31/3/2026</t>
  </si>
  <si>
    <t>A</t>
  </si>
  <si>
    <t>Cộng P/S</t>
  </si>
  <si>
    <t>B</t>
  </si>
  <si>
    <t>Tổng nợ</t>
  </si>
  <si>
    <t>A+B</t>
  </si>
  <si>
    <t>Ông: …………………………………………..           Chức vụ: ……………………………….</t>
  </si>
  <si>
    <t xml:space="preserve">        Hải Phòng, ngày ... tháng ... năm 2026</t>
  </si>
  <si>
    <t>Tân Lộc CDC, ĐVP-CDC</t>
  </si>
  <si>
    <t>Tháng: 05/2026</t>
  </si>
  <si>
    <t>Dư nợ mang sang: Hết 27/4/2026</t>
  </si>
  <si>
    <t>Công trình: Trại Chuối + Tân Lộc CDC + ĐVP - CDC</t>
  </si>
  <si>
    <t>Ngày chốt khối lượng của tháng: Từ ngày 28/4/2026 đến ngày 26/5/2026</t>
  </si>
  <si>
    <t>Số công nợ gạch xây từ ngày 28/04/2026 đến hết ngày 26/05/2026 như sau:</t>
  </si>
  <si>
    <t>13/5/2026</t>
  </si>
  <si>
    <t>C</t>
  </si>
  <si>
    <t>Chuyển khoản</t>
  </si>
  <si>
    <t>A+B-C</t>
  </si>
  <si>
    <t xml:space="preserve">   Đại diện bên bán                                Kế toán phụ trách                                    Cán bộ vật tư</t>
  </si>
  <si>
    <t>04/5/2026</t>
  </si>
  <si>
    <t>09/5/2026</t>
  </si>
  <si>
    <t>Ngày chốt khối lượng của tháng: Từ ngày 26/5/2026 đến ngày 26/6/2026</t>
  </si>
  <si>
    <t>05/6/2026</t>
  </si>
  <si>
    <t>Tháng: 06/2026</t>
  </si>
  <si>
    <t>Dư nợ mang sang: Hết 26/5/2026</t>
  </si>
  <si>
    <t>25/6/2026</t>
  </si>
  <si>
    <t>Tên vật tư: Gạch đặc A1 + gach đặc không nung</t>
  </si>
  <si>
    <t xml:space="preserve">Tên vật tư: Gạch đặc A1 + Gạch đặc không nung </t>
  </si>
  <si>
    <t>Gạch đặc A1</t>
  </si>
  <si>
    <t>Gạch đặc không nung</t>
  </si>
  <si>
    <t>Số công nợ gạch xây từ ngày 26/05/2026 đến hết ngày 26/06/2026 như sau: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</si>
</sst>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left"/>
    </xf>
    <xf numFmtId="164" fontId="1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4" fontId="4" fillId="0" borderId="1" xfId="0" quotePrefix="1" applyNumberFormat="1" applyFont="1" applyBorder="1" applyAlignment="1">
      <alignment horizontal="center"/>
    </xf>
    <xf numFmtId="0" fontId="4" fillId="0" borderId="1" xfId="0" applyFont="1" applyBorder="1"/>
    <xf numFmtId="164" fontId="4" fillId="0" borderId="0" xfId="0" applyNumberFormat="1" applyFont="1"/>
    <xf numFmtId="164" fontId="2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6" fillId="0" borderId="1" xfId="0" quotePrefix="1" applyFont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14" fontId="4" fillId="0" borderId="1" xfId="0" quotePrefix="1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horizontal="left"/>
    </xf>
    <xf numFmtId="164" fontId="6" fillId="0" borderId="1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horizontal="left"/>
    </xf>
    <xf numFmtId="164" fontId="6" fillId="0" borderId="1" xfId="0" applyNumberFormat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opLeftCell="A49" workbookViewId="0">
      <selection activeCell="A57" sqref="A57:D58"/>
    </sheetView>
  </sheetViews>
  <sheetFormatPr defaultRowHeight="15" x14ac:dyDescent="0.25"/>
  <cols>
    <col min="1" max="1" width="5.85546875" style="1" customWidth="1"/>
    <col min="2" max="2" width="16.5703125" style="1" customWidth="1"/>
    <col min="3" max="3" width="8.85546875" style="5" customWidth="1"/>
    <col min="4" max="4" width="7.85546875" style="1" customWidth="1"/>
    <col min="5" max="5" width="16.7109375" style="1" customWidth="1"/>
    <col min="6" max="6" width="17.5703125" style="1" customWidth="1"/>
    <col min="7" max="7" width="18.85546875" style="1" customWidth="1"/>
    <col min="8" max="16384" width="9.140625" style="1"/>
  </cols>
  <sheetData>
    <row r="1" spans="1:7" ht="26.25" customHeight="1" x14ac:dyDescent="0.25">
      <c r="A1" s="43" t="s">
        <v>14</v>
      </c>
      <c r="B1" s="43"/>
      <c r="C1" s="43"/>
      <c r="D1" s="43"/>
      <c r="E1" s="43"/>
    </row>
    <row r="2" spans="1:7" ht="28.5" customHeight="1" x14ac:dyDescent="0.25">
      <c r="A2" s="41" t="s">
        <v>8</v>
      </c>
      <c r="B2" s="41"/>
      <c r="C2" s="41"/>
      <c r="D2" s="41"/>
      <c r="E2" s="41"/>
      <c r="F2" s="41"/>
      <c r="G2" s="41"/>
    </row>
    <row r="3" spans="1:7" s="7" customFormat="1" ht="27.75" customHeight="1" x14ac:dyDescent="0.25">
      <c r="A3" s="42" t="s">
        <v>19</v>
      </c>
      <c r="B3" s="42"/>
      <c r="C3" s="42"/>
      <c r="D3" s="42"/>
      <c r="E3" s="42"/>
      <c r="F3" s="42"/>
      <c r="G3" s="42"/>
    </row>
    <row r="4" spans="1:7" s="7" customFormat="1" ht="27.75" customHeight="1" x14ac:dyDescent="0.25">
      <c r="A4" s="42" t="s">
        <v>25</v>
      </c>
      <c r="B4" s="42"/>
      <c r="C4" s="42"/>
      <c r="D4" s="42"/>
      <c r="E4" s="42"/>
      <c r="F4" s="42"/>
      <c r="G4" s="42"/>
    </row>
    <row r="5" spans="1:7" s="7" customFormat="1" ht="27.75" customHeight="1" x14ac:dyDescent="0.25">
      <c r="A5" s="42" t="s">
        <v>24</v>
      </c>
      <c r="B5" s="42"/>
      <c r="C5" s="42"/>
      <c r="D5" s="42"/>
      <c r="E5" s="42"/>
      <c r="F5" s="42"/>
      <c r="G5" s="42"/>
    </row>
    <row r="6" spans="1:7" s="7" customFormat="1" ht="28.5" customHeight="1" x14ac:dyDescent="0.25">
      <c r="A6" s="6"/>
      <c r="B6" s="6"/>
      <c r="C6" s="4"/>
      <c r="D6" s="6"/>
      <c r="E6" s="6"/>
      <c r="F6" s="6"/>
      <c r="G6" s="6"/>
    </row>
    <row r="7" spans="1:7" s="7" customFormat="1" ht="38.25" customHeight="1" x14ac:dyDescent="0.25">
      <c r="A7" s="8" t="s">
        <v>0</v>
      </c>
      <c r="B7" s="8" t="s">
        <v>1</v>
      </c>
      <c r="C7" s="9" t="s">
        <v>6</v>
      </c>
      <c r="D7" s="8" t="s">
        <v>2</v>
      </c>
      <c r="E7" s="8" t="s">
        <v>3</v>
      </c>
      <c r="F7" s="10" t="s">
        <v>5</v>
      </c>
      <c r="G7" s="10" t="s">
        <v>7</v>
      </c>
    </row>
    <row r="8" spans="1:7" s="7" customFormat="1" ht="30" customHeight="1" x14ac:dyDescent="0.25">
      <c r="A8" s="11">
        <v>1</v>
      </c>
      <c r="B8" s="12" t="s">
        <v>22</v>
      </c>
      <c r="C8" s="13">
        <v>8000</v>
      </c>
      <c r="D8" s="11" t="s">
        <v>21</v>
      </c>
      <c r="E8" s="11"/>
      <c r="F8" s="11"/>
      <c r="G8" s="11"/>
    </row>
    <row r="9" spans="1:7" s="7" customFormat="1" ht="30" customHeight="1" x14ac:dyDescent="0.25">
      <c r="A9" s="11">
        <v>2</v>
      </c>
      <c r="B9" s="12" t="s">
        <v>20</v>
      </c>
      <c r="C9" s="13">
        <v>8000</v>
      </c>
      <c r="D9" s="11" t="s">
        <v>21</v>
      </c>
      <c r="E9" s="11"/>
      <c r="F9" s="11"/>
      <c r="G9" s="11"/>
    </row>
    <row r="10" spans="1:7" s="7" customFormat="1" ht="30" customHeight="1" x14ac:dyDescent="0.25">
      <c r="A10" s="11">
        <v>3</v>
      </c>
      <c r="B10" s="14">
        <v>46330</v>
      </c>
      <c r="C10" s="13">
        <v>8000</v>
      </c>
      <c r="D10" s="11" t="s">
        <v>21</v>
      </c>
      <c r="E10" s="11"/>
      <c r="F10" s="11"/>
      <c r="G10" s="11"/>
    </row>
    <row r="11" spans="1:7" s="7" customFormat="1" ht="30" customHeight="1" x14ac:dyDescent="0.25">
      <c r="A11" s="11">
        <v>4</v>
      </c>
      <c r="B11" s="14" t="s">
        <v>30</v>
      </c>
      <c r="C11" s="13">
        <v>8000</v>
      </c>
      <c r="D11" s="11" t="s">
        <v>21</v>
      </c>
      <c r="E11" s="11"/>
      <c r="F11" s="11"/>
      <c r="G11" s="11"/>
    </row>
    <row r="12" spans="1:7" s="7" customFormat="1" ht="30" customHeight="1" x14ac:dyDescent="0.25">
      <c r="A12" s="11">
        <v>5</v>
      </c>
      <c r="B12" s="14" t="s">
        <v>26</v>
      </c>
      <c r="C12" s="13">
        <v>8000</v>
      </c>
      <c r="D12" s="11" t="s">
        <v>21</v>
      </c>
      <c r="E12" s="11"/>
      <c r="F12" s="11"/>
      <c r="G12" s="11"/>
    </row>
    <row r="13" spans="1:7" s="7" customFormat="1" ht="30" customHeight="1" x14ac:dyDescent="0.25">
      <c r="A13" s="11">
        <v>6</v>
      </c>
      <c r="B13" s="12" t="s">
        <v>29</v>
      </c>
      <c r="C13" s="13">
        <v>8000</v>
      </c>
      <c r="D13" s="11" t="s">
        <v>21</v>
      </c>
      <c r="E13" s="11"/>
      <c r="F13" s="11"/>
      <c r="G13" s="11"/>
    </row>
    <row r="14" spans="1:7" s="7" customFormat="1" ht="30" customHeight="1" x14ac:dyDescent="0.25">
      <c r="A14" s="11">
        <v>7</v>
      </c>
      <c r="B14" s="12" t="s">
        <v>28</v>
      </c>
      <c r="C14" s="13">
        <v>8000</v>
      </c>
      <c r="D14" s="11" t="s">
        <v>21</v>
      </c>
      <c r="E14" s="11"/>
      <c r="F14" s="11"/>
      <c r="G14" s="11"/>
    </row>
    <row r="15" spans="1:7" s="7" customFormat="1" ht="30" customHeight="1" x14ac:dyDescent="0.25">
      <c r="A15" s="11">
        <v>8</v>
      </c>
      <c r="B15" s="12" t="s">
        <v>31</v>
      </c>
      <c r="C15" s="13">
        <v>8000</v>
      </c>
      <c r="D15" s="11" t="s">
        <v>21</v>
      </c>
      <c r="E15" s="11"/>
      <c r="F15" s="11"/>
      <c r="G15" s="11"/>
    </row>
    <row r="16" spans="1:7" s="7" customFormat="1" ht="16.5" x14ac:dyDescent="0.25">
      <c r="C16" s="16"/>
    </row>
    <row r="24" spans="1:7" ht="26.25" customHeight="1" x14ac:dyDescent="0.25">
      <c r="A24" s="43" t="s">
        <v>14</v>
      </c>
      <c r="B24" s="43"/>
      <c r="C24" s="43"/>
      <c r="D24" s="43"/>
      <c r="E24" s="43"/>
    </row>
    <row r="25" spans="1:7" ht="28.5" customHeight="1" x14ac:dyDescent="0.25">
      <c r="A25" s="41" t="s">
        <v>8</v>
      </c>
      <c r="B25" s="41"/>
      <c r="C25" s="41"/>
      <c r="D25" s="41"/>
      <c r="E25" s="41"/>
      <c r="F25" s="41"/>
      <c r="G25" s="41"/>
    </row>
    <row r="26" spans="1:7" s="7" customFormat="1" ht="27.75" customHeight="1" x14ac:dyDescent="0.25">
      <c r="A26" s="42" t="s">
        <v>19</v>
      </c>
      <c r="B26" s="42"/>
      <c r="C26" s="42"/>
      <c r="D26" s="42"/>
      <c r="E26" s="42"/>
      <c r="F26" s="42"/>
      <c r="G26" s="42"/>
    </row>
    <row r="27" spans="1:7" s="7" customFormat="1" ht="27.75" customHeight="1" x14ac:dyDescent="0.25">
      <c r="A27" s="42" t="s">
        <v>25</v>
      </c>
      <c r="B27" s="42"/>
      <c r="C27" s="42"/>
      <c r="D27" s="42"/>
      <c r="E27" s="42"/>
      <c r="F27" s="42"/>
      <c r="G27" s="42"/>
    </row>
    <row r="28" spans="1:7" s="7" customFormat="1" ht="27.75" customHeight="1" x14ac:dyDescent="0.25">
      <c r="A28" s="42" t="s">
        <v>47</v>
      </c>
      <c r="B28" s="42"/>
      <c r="C28" s="42"/>
      <c r="D28" s="42"/>
      <c r="E28" s="42"/>
      <c r="F28" s="42"/>
      <c r="G28" s="42"/>
    </row>
    <row r="29" spans="1:7" s="7" customFormat="1" ht="28.5" customHeight="1" x14ac:dyDescent="0.25">
      <c r="A29" s="32"/>
      <c r="B29" s="32"/>
      <c r="C29" s="4"/>
      <c r="D29" s="32"/>
      <c r="E29" s="32"/>
      <c r="F29" s="32"/>
      <c r="G29" s="32"/>
    </row>
    <row r="30" spans="1:7" s="7" customFormat="1" ht="38.25" customHeight="1" x14ac:dyDescent="0.25">
      <c r="A30" s="8" t="s">
        <v>0</v>
      </c>
      <c r="B30" s="8" t="s">
        <v>1</v>
      </c>
      <c r="C30" s="9" t="s">
        <v>6</v>
      </c>
      <c r="D30" s="8" t="s">
        <v>2</v>
      </c>
      <c r="E30" s="8" t="s">
        <v>3</v>
      </c>
      <c r="F30" s="10" t="s">
        <v>5</v>
      </c>
      <c r="G30" s="10" t="s">
        <v>7</v>
      </c>
    </row>
    <row r="31" spans="1:7" s="7" customFormat="1" ht="30" customHeight="1" x14ac:dyDescent="0.25">
      <c r="A31" s="11">
        <v>1</v>
      </c>
      <c r="B31" s="14">
        <v>46117</v>
      </c>
      <c r="C31" s="13">
        <v>8000</v>
      </c>
      <c r="D31" s="11" t="s">
        <v>21</v>
      </c>
      <c r="E31" s="11"/>
      <c r="F31" s="11"/>
      <c r="G31" s="11"/>
    </row>
    <row r="32" spans="1:7" s="7" customFormat="1" ht="30" customHeight="1" x14ac:dyDescent="0.25">
      <c r="A32" s="11">
        <v>2</v>
      </c>
      <c r="B32" s="14">
        <v>46270</v>
      </c>
      <c r="C32" s="13">
        <v>8000</v>
      </c>
      <c r="D32" s="11" t="s">
        <v>21</v>
      </c>
      <c r="E32" s="11"/>
      <c r="F32" s="11"/>
      <c r="G32" s="11"/>
    </row>
    <row r="33" spans="1:7" s="7" customFormat="1" ht="30" customHeight="1" x14ac:dyDescent="0.25">
      <c r="A33" s="11">
        <v>3</v>
      </c>
      <c r="B33" s="14" t="s">
        <v>49</v>
      </c>
      <c r="C33" s="13">
        <v>8000</v>
      </c>
      <c r="D33" s="11" t="s">
        <v>21</v>
      </c>
      <c r="E33" s="11"/>
      <c r="F33" s="11"/>
      <c r="G33" s="11"/>
    </row>
    <row r="34" spans="1:7" s="7" customFormat="1" ht="30" customHeight="1" x14ac:dyDescent="0.25">
      <c r="A34" s="11">
        <v>4</v>
      </c>
      <c r="B34" s="14"/>
      <c r="C34" s="13"/>
      <c r="D34" s="11"/>
      <c r="E34" s="11"/>
      <c r="F34" s="11"/>
      <c r="G34" s="11"/>
    </row>
    <row r="35" spans="1:7" s="7" customFormat="1" ht="30" customHeight="1" x14ac:dyDescent="0.25">
      <c r="A35" s="11">
        <v>5</v>
      </c>
      <c r="B35" s="14"/>
      <c r="C35" s="13"/>
      <c r="D35" s="11"/>
      <c r="E35" s="11"/>
      <c r="F35" s="11"/>
      <c r="G35" s="11"/>
    </row>
    <row r="36" spans="1:7" s="7" customFormat="1" ht="30" customHeight="1" x14ac:dyDescent="0.25">
      <c r="A36" s="11">
        <v>6</v>
      </c>
      <c r="B36" s="12"/>
      <c r="C36" s="13"/>
      <c r="D36" s="11"/>
      <c r="E36" s="11"/>
      <c r="F36" s="11"/>
      <c r="G36" s="11"/>
    </row>
    <row r="37" spans="1:7" s="7" customFormat="1" ht="30" customHeight="1" x14ac:dyDescent="0.25">
      <c r="A37" s="11">
        <v>7</v>
      </c>
      <c r="B37" s="12"/>
      <c r="C37" s="13"/>
      <c r="D37" s="11"/>
      <c r="E37" s="11"/>
      <c r="F37" s="11"/>
      <c r="G37" s="11"/>
    </row>
    <row r="38" spans="1:7" s="7" customFormat="1" ht="30" customHeight="1" x14ac:dyDescent="0.25">
      <c r="A38" s="11">
        <v>8</v>
      </c>
      <c r="B38" s="12"/>
      <c r="C38" s="13"/>
      <c r="D38" s="11"/>
      <c r="E38" s="11"/>
      <c r="F38" s="11"/>
      <c r="G38" s="11"/>
    </row>
    <row r="49" spans="1:7" ht="26.25" customHeight="1" x14ac:dyDescent="0.25">
      <c r="A49" s="43" t="s">
        <v>14</v>
      </c>
      <c r="B49" s="43"/>
      <c r="C49" s="43"/>
      <c r="D49" s="43"/>
      <c r="E49" s="43"/>
    </row>
    <row r="50" spans="1:7" ht="28.5" customHeight="1" x14ac:dyDescent="0.25">
      <c r="A50" s="41" t="s">
        <v>8</v>
      </c>
      <c r="B50" s="41"/>
      <c r="C50" s="41"/>
      <c r="D50" s="41"/>
      <c r="E50" s="41"/>
      <c r="F50" s="41"/>
      <c r="G50" s="41"/>
    </row>
    <row r="51" spans="1:7" s="7" customFormat="1" ht="27.75" customHeight="1" x14ac:dyDescent="0.25">
      <c r="A51" s="42" t="s">
        <v>19</v>
      </c>
      <c r="B51" s="42"/>
      <c r="C51" s="42"/>
      <c r="D51" s="42"/>
      <c r="E51" s="42"/>
      <c r="F51" s="42"/>
      <c r="G51" s="42"/>
    </row>
    <row r="52" spans="1:7" s="7" customFormat="1" ht="27.75" customHeight="1" x14ac:dyDescent="0.25">
      <c r="A52" s="42" t="s">
        <v>61</v>
      </c>
      <c r="B52" s="42"/>
      <c r="C52" s="42"/>
      <c r="D52" s="42"/>
      <c r="E52" s="42"/>
      <c r="F52" s="42"/>
      <c r="G52" s="42"/>
    </row>
    <row r="53" spans="1:7" s="7" customFormat="1" ht="27.75" customHeight="1" x14ac:dyDescent="0.25">
      <c r="A53" s="42" t="s">
        <v>56</v>
      </c>
      <c r="B53" s="42"/>
      <c r="C53" s="42"/>
      <c r="D53" s="42"/>
      <c r="E53" s="42"/>
      <c r="F53" s="42"/>
      <c r="G53" s="42"/>
    </row>
    <row r="54" spans="1:7" s="7" customFormat="1" ht="28.5" customHeight="1" x14ac:dyDescent="0.25">
      <c r="A54" s="36"/>
      <c r="B54" s="36"/>
      <c r="C54" s="4"/>
      <c r="D54" s="36"/>
      <c r="E54" s="36"/>
      <c r="F54" s="36"/>
      <c r="G54" s="36"/>
    </row>
    <row r="55" spans="1:7" s="7" customFormat="1" ht="38.25" customHeight="1" x14ac:dyDescent="0.25">
      <c r="A55" s="8" t="s">
        <v>0</v>
      </c>
      <c r="B55" s="8" t="s">
        <v>1</v>
      </c>
      <c r="C55" s="9" t="s">
        <v>6</v>
      </c>
      <c r="D55" s="8" t="s">
        <v>2</v>
      </c>
      <c r="E55" s="8" t="s">
        <v>3</v>
      </c>
      <c r="F55" s="10" t="s">
        <v>5</v>
      </c>
      <c r="G55" s="10" t="s">
        <v>7</v>
      </c>
    </row>
    <row r="56" spans="1:7" s="7" customFormat="1" ht="30" customHeight="1" x14ac:dyDescent="0.25">
      <c r="A56" s="11">
        <v>1</v>
      </c>
      <c r="B56" s="14" t="s">
        <v>57</v>
      </c>
      <c r="C56" s="13">
        <v>8000</v>
      </c>
      <c r="D56" s="11" t="s">
        <v>21</v>
      </c>
      <c r="E56" s="11"/>
      <c r="F56" s="11"/>
      <c r="G56" s="11"/>
    </row>
    <row r="57" spans="1:7" s="7" customFormat="1" ht="30" customHeight="1" x14ac:dyDescent="0.25">
      <c r="A57" s="11">
        <v>2</v>
      </c>
      <c r="B57" s="14" t="s">
        <v>60</v>
      </c>
      <c r="C57" s="13">
        <v>5400</v>
      </c>
      <c r="D57" s="11" t="s">
        <v>21</v>
      </c>
      <c r="E57" s="11"/>
      <c r="F57" s="11"/>
      <c r="G57" s="11"/>
    </row>
    <row r="58" spans="1:7" s="7" customFormat="1" ht="30" customHeight="1" x14ac:dyDescent="0.25">
      <c r="A58" s="11">
        <v>3</v>
      </c>
      <c r="B58" s="14" t="s">
        <v>60</v>
      </c>
      <c r="C58" s="13">
        <v>5400</v>
      </c>
      <c r="D58" s="11" t="s">
        <v>21</v>
      </c>
      <c r="E58" s="11"/>
      <c r="F58" s="11"/>
      <c r="G58" s="11"/>
    </row>
    <row r="59" spans="1:7" s="7" customFormat="1" ht="30" customHeight="1" x14ac:dyDescent="0.25">
      <c r="A59" s="11">
        <v>4</v>
      </c>
      <c r="B59" s="14"/>
      <c r="C59" s="13"/>
      <c r="D59" s="11"/>
      <c r="E59" s="11"/>
      <c r="F59" s="11"/>
      <c r="G59" s="11"/>
    </row>
    <row r="60" spans="1:7" s="7" customFormat="1" ht="30" customHeight="1" x14ac:dyDescent="0.25">
      <c r="A60" s="11">
        <v>5</v>
      </c>
      <c r="B60" s="14"/>
      <c r="C60" s="13"/>
      <c r="D60" s="11"/>
      <c r="E60" s="11"/>
      <c r="F60" s="11"/>
      <c r="G60" s="11"/>
    </row>
    <row r="61" spans="1:7" s="7" customFormat="1" ht="30" customHeight="1" x14ac:dyDescent="0.25">
      <c r="A61" s="11">
        <v>6</v>
      </c>
      <c r="B61" s="12"/>
      <c r="C61" s="13"/>
      <c r="D61" s="11"/>
      <c r="E61" s="11"/>
      <c r="F61" s="11"/>
      <c r="G61" s="11"/>
    </row>
    <row r="62" spans="1:7" s="7" customFormat="1" ht="30" customHeight="1" x14ac:dyDescent="0.25">
      <c r="A62" s="11">
        <v>7</v>
      </c>
      <c r="B62" s="12"/>
      <c r="C62" s="13"/>
      <c r="D62" s="11"/>
      <c r="E62" s="11"/>
      <c r="F62" s="11"/>
      <c r="G62" s="11"/>
    </row>
    <row r="63" spans="1:7" s="7" customFormat="1" ht="30" customHeight="1" x14ac:dyDescent="0.25">
      <c r="A63" s="11">
        <v>8</v>
      </c>
      <c r="B63" s="12"/>
      <c r="C63" s="13"/>
      <c r="D63" s="11"/>
      <c r="E63" s="11"/>
      <c r="F63" s="11"/>
      <c r="G63" s="11"/>
    </row>
  </sheetData>
  <mergeCells count="15">
    <mergeCell ref="A49:E49"/>
    <mergeCell ref="A50:G50"/>
    <mergeCell ref="A51:G51"/>
    <mergeCell ref="A52:G52"/>
    <mergeCell ref="A53:G53"/>
    <mergeCell ref="A24:E24"/>
    <mergeCell ref="A25:G25"/>
    <mergeCell ref="A26:G26"/>
    <mergeCell ref="A27:G27"/>
    <mergeCell ref="A28:G28"/>
    <mergeCell ref="A2:G2"/>
    <mergeCell ref="A3:G3"/>
    <mergeCell ref="A4:G4"/>
    <mergeCell ref="A5:G5"/>
    <mergeCell ref="A1:E1"/>
  </mergeCells>
  <pageMargins left="0.5" right="0.5" top="0.25" bottom="0.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tabSelected="1" topLeftCell="A58" workbookViewId="0">
      <selection activeCell="I67" sqref="I67"/>
    </sheetView>
  </sheetViews>
  <sheetFormatPr defaultRowHeight="15" x14ac:dyDescent="0.25"/>
  <cols>
    <col min="1" max="1" width="9.28515625" style="1" customWidth="1"/>
    <col min="2" max="2" width="20.140625" style="1" customWidth="1"/>
    <col min="3" max="3" width="17.7109375" style="1" customWidth="1"/>
    <col min="4" max="4" width="16.7109375" style="1" customWidth="1"/>
    <col min="5" max="5" width="28.42578125" style="1" customWidth="1"/>
    <col min="6" max="16384" width="9.140625" style="1"/>
  </cols>
  <sheetData>
    <row r="1" spans="1:5" s="7" customFormat="1" ht="27.75" customHeight="1" x14ac:dyDescent="0.25">
      <c r="A1" s="43" t="s">
        <v>14</v>
      </c>
      <c r="B1" s="43"/>
      <c r="C1" s="43"/>
    </row>
    <row r="2" spans="1:5" ht="28.5" customHeight="1" x14ac:dyDescent="0.25">
      <c r="A2" s="41" t="s">
        <v>9</v>
      </c>
      <c r="B2" s="41"/>
      <c r="C2" s="41"/>
      <c r="D2" s="41"/>
      <c r="E2" s="41"/>
    </row>
    <row r="3" spans="1:5" s="7" customFormat="1" ht="24" customHeight="1" x14ac:dyDescent="0.25">
      <c r="A3" s="42" t="s">
        <v>19</v>
      </c>
      <c r="B3" s="42"/>
      <c r="C3" s="42"/>
      <c r="D3" s="42"/>
      <c r="E3" s="42"/>
    </row>
    <row r="4" spans="1:5" s="7" customFormat="1" ht="24" customHeight="1" x14ac:dyDescent="0.25">
      <c r="A4" s="42" t="s">
        <v>25</v>
      </c>
      <c r="B4" s="42"/>
      <c r="C4" s="42"/>
      <c r="D4" s="42"/>
      <c r="E4" s="42"/>
    </row>
    <row r="5" spans="1:5" s="7" customFormat="1" ht="24" customHeight="1" x14ac:dyDescent="0.25">
      <c r="A5" s="42" t="s">
        <v>32</v>
      </c>
      <c r="B5" s="42"/>
      <c r="C5" s="42"/>
      <c r="D5" s="42"/>
      <c r="E5" s="42"/>
    </row>
    <row r="6" spans="1:5" s="7" customFormat="1" ht="24" customHeight="1" x14ac:dyDescent="0.25">
      <c r="A6" s="20"/>
      <c r="B6" s="20"/>
      <c r="C6" s="20"/>
      <c r="D6" s="20"/>
      <c r="E6" s="20"/>
    </row>
    <row r="7" spans="1:5" s="7" customFormat="1" ht="38.25" customHeight="1" x14ac:dyDescent="0.25">
      <c r="A7" s="8" t="s">
        <v>0</v>
      </c>
      <c r="B7" s="8" t="s">
        <v>1</v>
      </c>
      <c r="C7" s="10" t="s">
        <v>6</v>
      </c>
      <c r="D7" s="8" t="s">
        <v>2</v>
      </c>
      <c r="E7" s="8" t="s">
        <v>10</v>
      </c>
    </row>
    <row r="8" spans="1:5" s="7" customFormat="1" ht="35.25" customHeight="1" x14ac:dyDescent="0.25">
      <c r="A8" s="11">
        <v>1</v>
      </c>
      <c r="B8" s="12" t="s">
        <v>22</v>
      </c>
      <c r="C8" s="13">
        <v>8000</v>
      </c>
      <c r="D8" s="11" t="s">
        <v>21</v>
      </c>
      <c r="E8" s="15"/>
    </row>
    <row r="9" spans="1:5" s="7" customFormat="1" ht="35.25" customHeight="1" x14ac:dyDescent="0.25">
      <c r="A9" s="11">
        <v>2</v>
      </c>
      <c r="B9" s="12" t="s">
        <v>20</v>
      </c>
      <c r="C9" s="13">
        <v>8000</v>
      </c>
      <c r="D9" s="11" t="s">
        <v>21</v>
      </c>
      <c r="E9" s="15"/>
    </row>
    <row r="10" spans="1:5" s="7" customFormat="1" ht="35.25" customHeight="1" x14ac:dyDescent="0.25">
      <c r="A10" s="11">
        <v>3</v>
      </c>
      <c r="B10" s="14">
        <v>46330</v>
      </c>
      <c r="C10" s="13">
        <v>8000</v>
      </c>
      <c r="D10" s="11" t="s">
        <v>21</v>
      </c>
      <c r="E10" s="15"/>
    </row>
    <row r="11" spans="1:5" s="7" customFormat="1" ht="35.25" customHeight="1" x14ac:dyDescent="0.25">
      <c r="A11" s="11">
        <v>4</v>
      </c>
      <c r="B11" s="14" t="s">
        <v>30</v>
      </c>
      <c r="C11" s="13">
        <v>8000</v>
      </c>
      <c r="D11" s="11" t="s">
        <v>21</v>
      </c>
      <c r="E11" s="15"/>
    </row>
    <row r="12" spans="1:5" s="7" customFormat="1" ht="35.25" customHeight="1" x14ac:dyDescent="0.25">
      <c r="A12" s="11">
        <v>5</v>
      </c>
      <c r="B12" s="14" t="s">
        <v>26</v>
      </c>
      <c r="C12" s="13">
        <v>8000</v>
      </c>
      <c r="D12" s="11" t="s">
        <v>21</v>
      </c>
      <c r="E12" s="15"/>
    </row>
    <row r="13" spans="1:5" s="7" customFormat="1" ht="35.25" customHeight="1" x14ac:dyDescent="0.25">
      <c r="A13" s="11">
        <v>6</v>
      </c>
      <c r="B13" s="12" t="s">
        <v>27</v>
      </c>
      <c r="C13" s="13">
        <v>8000</v>
      </c>
      <c r="D13" s="11" t="s">
        <v>21</v>
      </c>
      <c r="E13" s="15"/>
    </row>
    <row r="14" spans="1:5" s="7" customFormat="1" ht="35.25" customHeight="1" x14ac:dyDescent="0.25">
      <c r="A14" s="11">
        <v>7</v>
      </c>
      <c r="B14" s="12" t="s">
        <v>28</v>
      </c>
      <c r="C14" s="13">
        <v>8000</v>
      </c>
      <c r="D14" s="11" t="s">
        <v>21</v>
      </c>
      <c r="E14" s="15"/>
    </row>
    <row r="15" spans="1:5" s="7" customFormat="1" ht="35.25" customHeight="1" x14ac:dyDescent="0.25">
      <c r="A15" s="11">
        <v>8</v>
      </c>
      <c r="B15" s="12" t="s">
        <v>31</v>
      </c>
      <c r="C15" s="13">
        <v>8000</v>
      </c>
      <c r="D15" s="11" t="s">
        <v>21</v>
      </c>
      <c r="E15" s="15"/>
    </row>
    <row r="16" spans="1:5" s="7" customFormat="1" ht="28.5" customHeight="1" x14ac:dyDescent="0.25"/>
    <row r="17" spans="4:5" s="7" customFormat="1" ht="16.5" x14ac:dyDescent="0.25">
      <c r="D17" s="44" t="s">
        <v>4</v>
      </c>
      <c r="E17" s="44"/>
    </row>
    <row r="36" spans="1:5" s="7" customFormat="1" ht="27.75" customHeight="1" x14ac:dyDescent="0.25">
      <c r="A36" s="43" t="s">
        <v>14</v>
      </c>
      <c r="B36" s="43"/>
      <c r="C36" s="43"/>
    </row>
    <row r="37" spans="1:5" ht="28.5" customHeight="1" x14ac:dyDescent="0.25">
      <c r="A37" s="41" t="s">
        <v>9</v>
      </c>
      <c r="B37" s="41"/>
      <c r="C37" s="41"/>
      <c r="D37" s="41"/>
      <c r="E37" s="41"/>
    </row>
    <row r="38" spans="1:5" s="7" customFormat="1" ht="24" customHeight="1" x14ac:dyDescent="0.25">
      <c r="A38" s="42" t="s">
        <v>19</v>
      </c>
      <c r="B38" s="42"/>
      <c r="C38" s="42"/>
      <c r="D38" s="42"/>
      <c r="E38" s="42"/>
    </row>
    <row r="39" spans="1:5" s="7" customFormat="1" ht="24" customHeight="1" x14ac:dyDescent="0.25">
      <c r="A39" s="42" t="s">
        <v>25</v>
      </c>
      <c r="B39" s="42"/>
      <c r="C39" s="42"/>
      <c r="D39" s="42"/>
      <c r="E39" s="42"/>
    </row>
    <row r="40" spans="1:5" s="7" customFormat="1" ht="24" customHeight="1" x14ac:dyDescent="0.25">
      <c r="A40" s="42" t="s">
        <v>44</v>
      </c>
      <c r="B40" s="42"/>
      <c r="C40" s="42"/>
      <c r="D40" s="42"/>
      <c r="E40" s="42"/>
    </row>
    <row r="41" spans="1:5" s="7" customFormat="1" ht="24" customHeight="1" x14ac:dyDescent="0.25">
      <c r="A41" s="32"/>
      <c r="B41" s="32"/>
      <c r="C41" s="32"/>
      <c r="D41" s="32"/>
      <c r="E41" s="32"/>
    </row>
    <row r="42" spans="1:5" s="7" customFormat="1" ht="38.25" customHeight="1" x14ac:dyDescent="0.25">
      <c r="A42" s="8" t="s">
        <v>0</v>
      </c>
      <c r="B42" s="8" t="s">
        <v>1</v>
      </c>
      <c r="C42" s="10" t="s">
        <v>6</v>
      </c>
      <c r="D42" s="8" t="s">
        <v>2</v>
      </c>
      <c r="E42" s="8" t="s">
        <v>10</v>
      </c>
    </row>
    <row r="43" spans="1:5" s="7" customFormat="1" ht="35.25" customHeight="1" x14ac:dyDescent="0.25">
      <c r="A43" s="11">
        <v>1</v>
      </c>
      <c r="B43" s="14" t="s">
        <v>54</v>
      </c>
      <c r="C43" s="13">
        <v>8000</v>
      </c>
      <c r="D43" s="11" t="s">
        <v>21</v>
      </c>
      <c r="E43" s="15"/>
    </row>
    <row r="44" spans="1:5" s="7" customFormat="1" ht="35.25" customHeight="1" x14ac:dyDescent="0.25">
      <c r="A44" s="11">
        <v>2</v>
      </c>
      <c r="B44" s="14" t="s">
        <v>55</v>
      </c>
      <c r="C44" s="13">
        <v>8000</v>
      </c>
      <c r="D44" s="11" t="s">
        <v>21</v>
      </c>
      <c r="E44" s="15"/>
    </row>
    <row r="45" spans="1:5" s="7" customFormat="1" ht="35.25" customHeight="1" x14ac:dyDescent="0.25">
      <c r="A45" s="11">
        <v>3</v>
      </c>
      <c r="B45" s="14" t="s">
        <v>49</v>
      </c>
      <c r="C45" s="13">
        <v>8000</v>
      </c>
      <c r="D45" s="11" t="s">
        <v>21</v>
      </c>
      <c r="E45" s="15"/>
    </row>
    <row r="46" spans="1:5" s="7" customFormat="1" ht="35.25" customHeight="1" x14ac:dyDescent="0.25">
      <c r="A46" s="11"/>
      <c r="B46" s="14"/>
      <c r="C46" s="13"/>
      <c r="D46" s="11"/>
      <c r="E46" s="15"/>
    </row>
    <row r="47" spans="1:5" s="7" customFormat="1" ht="35.25" customHeight="1" x14ac:dyDescent="0.25">
      <c r="A47" s="11"/>
      <c r="B47" s="14"/>
      <c r="C47" s="13"/>
      <c r="D47" s="11"/>
      <c r="E47" s="15"/>
    </row>
    <row r="48" spans="1:5" s="7" customFormat="1" ht="35.25" customHeight="1" x14ac:dyDescent="0.25">
      <c r="A48" s="11"/>
      <c r="B48" s="12"/>
      <c r="C48" s="13"/>
      <c r="D48" s="11"/>
      <c r="E48" s="15"/>
    </row>
    <row r="49" spans="1:5" s="7" customFormat="1" ht="35.25" customHeight="1" x14ac:dyDescent="0.25">
      <c r="A49" s="11"/>
      <c r="B49" s="12"/>
      <c r="C49" s="13"/>
      <c r="D49" s="11"/>
      <c r="E49" s="15"/>
    </row>
    <row r="50" spans="1:5" s="7" customFormat="1" ht="35.25" customHeight="1" x14ac:dyDescent="0.25">
      <c r="A50" s="11"/>
      <c r="B50" s="12"/>
      <c r="C50" s="13"/>
      <c r="D50" s="11"/>
      <c r="E50" s="15"/>
    </row>
    <row r="51" spans="1:5" s="7" customFormat="1" ht="35.25" customHeight="1" x14ac:dyDescent="0.25">
      <c r="A51" s="11"/>
      <c r="B51" s="12"/>
      <c r="C51" s="13"/>
      <c r="D51" s="11"/>
      <c r="E51" s="15"/>
    </row>
    <row r="52" spans="1:5" s="7" customFormat="1" ht="35.25" customHeight="1" x14ac:dyDescent="0.25">
      <c r="A52" s="11"/>
      <c r="B52" s="12"/>
      <c r="C52" s="13"/>
      <c r="D52" s="11"/>
      <c r="E52" s="15"/>
    </row>
    <row r="53" spans="1:5" s="7" customFormat="1" ht="28.5" customHeight="1" x14ac:dyDescent="0.25"/>
    <row r="54" spans="1:5" s="7" customFormat="1" ht="16.5" x14ac:dyDescent="0.25">
      <c r="D54" s="44" t="s">
        <v>4</v>
      </c>
      <c r="E54" s="44"/>
    </row>
    <row r="69" spans="1:5" s="7" customFormat="1" ht="27.75" customHeight="1" x14ac:dyDescent="0.25">
      <c r="A69" s="43" t="s">
        <v>14</v>
      </c>
      <c r="B69" s="43"/>
      <c r="C69" s="43"/>
    </row>
    <row r="70" spans="1:5" ht="28.5" customHeight="1" x14ac:dyDescent="0.25">
      <c r="A70" s="41" t="s">
        <v>9</v>
      </c>
      <c r="B70" s="41"/>
      <c r="C70" s="41"/>
      <c r="D70" s="41"/>
      <c r="E70" s="41"/>
    </row>
    <row r="71" spans="1:5" s="7" customFormat="1" ht="24" customHeight="1" x14ac:dyDescent="0.25">
      <c r="A71" s="42" t="s">
        <v>19</v>
      </c>
      <c r="B71" s="42"/>
      <c r="C71" s="42"/>
      <c r="D71" s="42"/>
      <c r="E71" s="42"/>
    </row>
    <row r="72" spans="1:5" s="7" customFormat="1" ht="24" customHeight="1" x14ac:dyDescent="0.25">
      <c r="A72" s="42" t="s">
        <v>62</v>
      </c>
      <c r="B72" s="42"/>
      <c r="C72" s="42"/>
      <c r="D72" s="42"/>
      <c r="E72" s="42"/>
    </row>
    <row r="73" spans="1:5" s="7" customFormat="1" ht="24" customHeight="1" x14ac:dyDescent="0.25">
      <c r="A73" s="42" t="s">
        <v>58</v>
      </c>
      <c r="B73" s="42"/>
      <c r="C73" s="42"/>
      <c r="D73" s="42"/>
      <c r="E73" s="42"/>
    </row>
    <row r="74" spans="1:5" s="7" customFormat="1" ht="24" customHeight="1" x14ac:dyDescent="0.25">
      <c r="A74" s="36"/>
      <c r="B74" s="36"/>
      <c r="C74" s="36"/>
      <c r="D74" s="36"/>
      <c r="E74" s="36"/>
    </row>
    <row r="75" spans="1:5" s="7" customFormat="1" ht="38.25" customHeight="1" x14ac:dyDescent="0.25">
      <c r="A75" s="8" t="s">
        <v>0</v>
      </c>
      <c r="B75" s="8" t="s">
        <v>1</v>
      </c>
      <c r="C75" s="10" t="s">
        <v>6</v>
      </c>
      <c r="D75" s="8" t="s">
        <v>2</v>
      </c>
      <c r="E75" s="8" t="s">
        <v>10</v>
      </c>
    </row>
    <row r="76" spans="1:5" s="7" customFormat="1" ht="35.25" customHeight="1" x14ac:dyDescent="0.25">
      <c r="A76" s="11">
        <v>1</v>
      </c>
      <c r="B76" s="14" t="s">
        <v>57</v>
      </c>
      <c r="C76" s="13">
        <v>8000</v>
      </c>
      <c r="D76" s="11" t="s">
        <v>21</v>
      </c>
      <c r="E76" s="15" t="s">
        <v>63</v>
      </c>
    </row>
    <row r="77" spans="1:5" s="7" customFormat="1" ht="35.25" customHeight="1" x14ac:dyDescent="0.25">
      <c r="A77" s="11">
        <v>2</v>
      </c>
      <c r="B77" s="14" t="s">
        <v>60</v>
      </c>
      <c r="C77" s="13">
        <v>5400</v>
      </c>
      <c r="D77" s="11" t="s">
        <v>21</v>
      </c>
      <c r="E77" s="15" t="s">
        <v>64</v>
      </c>
    </row>
    <row r="78" spans="1:5" s="7" customFormat="1" ht="35.25" customHeight="1" x14ac:dyDescent="0.25">
      <c r="A78" s="11">
        <v>3</v>
      </c>
      <c r="B78" s="14" t="s">
        <v>60</v>
      </c>
      <c r="C78" s="13">
        <v>5400</v>
      </c>
      <c r="D78" s="11" t="s">
        <v>21</v>
      </c>
      <c r="E78" s="15" t="s">
        <v>64</v>
      </c>
    </row>
    <row r="79" spans="1:5" s="7" customFormat="1" ht="35.25" customHeight="1" x14ac:dyDescent="0.25">
      <c r="A79" s="11"/>
      <c r="B79" s="14"/>
      <c r="C79" s="13"/>
      <c r="D79" s="11"/>
      <c r="E79" s="15"/>
    </row>
    <row r="80" spans="1:5" s="7" customFormat="1" ht="35.25" customHeight="1" x14ac:dyDescent="0.25">
      <c r="A80" s="11"/>
      <c r="B80" s="14"/>
      <c r="C80" s="13"/>
      <c r="D80" s="11"/>
      <c r="E80" s="15"/>
    </row>
    <row r="81" spans="1:5" s="7" customFormat="1" ht="35.25" customHeight="1" x14ac:dyDescent="0.25">
      <c r="A81" s="11"/>
      <c r="B81" s="12"/>
      <c r="C81" s="13"/>
      <c r="D81" s="11"/>
      <c r="E81" s="15"/>
    </row>
    <row r="82" spans="1:5" s="7" customFormat="1" ht="35.25" customHeight="1" x14ac:dyDescent="0.25">
      <c r="A82" s="11"/>
      <c r="B82" s="12"/>
      <c r="C82" s="13"/>
      <c r="D82" s="11"/>
      <c r="E82" s="15"/>
    </row>
    <row r="83" spans="1:5" s="7" customFormat="1" ht="35.25" customHeight="1" x14ac:dyDescent="0.25">
      <c r="A83" s="11"/>
      <c r="B83" s="12"/>
      <c r="C83" s="13"/>
      <c r="D83" s="11"/>
      <c r="E83" s="15"/>
    </row>
    <row r="84" spans="1:5" s="7" customFormat="1" ht="35.25" customHeight="1" x14ac:dyDescent="0.25">
      <c r="A84" s="11"/>
      <c r="B84" s="12"/>
      <c r="C84" s="13"/>
      <c r="D84" s="11"/>
      <c r="E84" s="15"/>
    </row>
    <row r="85" spans="1:5" s="7" customFormat="1" ht="35.25" customHeight="1" x14ac:dyDescent="0.25">
      <c r="A85" s="11"/>
      <c r="B85" s="12"/>
      <c r="C85" s="13"/>
      <c r="D85" s="11"/>
      <c r="E85" s="15"/>
    </row>
    <row r="86" spans="1:5" s="7" customFormat="1" ht="28.5" customHeight="1" x14ac:dyDescent="0.25"/>
    <row r="87" spans="1:5" s="7" customFormat="1" ht="16.5" x14ac:dyDescent="0.25">
      <c r="D87" s="44" t="s">
        <v>4</v>
      </c>
      <c r="E87" s="44"/>
    </row>
  </sheetData>
  <mergeCells count="18">
    <mergeCell ref="D87:E87"/>
    <mergeCell ref="A69:C69"/>
    <mergeCell ref="A70:E70"/>
    <mergeCell ref="A71:E71"/>
    <mergeCell ref="A72:E72"/>
    <mergeCell ref="A73:E73"/>
    <mergeCell ref="D54:E54"/>
    <mergeCell ref="A36:C36"/>
    <mergeCell ref="A37:E37"/>
    <mergeCell ref="A38:E38"/>
    <mergeCell ref="A39:E39"/>
    <mergeCell ref="A40:E40"/>
    <mergeCell ref="D17:E17"/>
    <mergeCell ref="A1:C1"/>
    <mergeCell ref="A2:E2"/>
    <mergeCell ref="A3:E3"/>
    <mergeCell ref="A4:E4"/>
    <mergeCell ref="A5:E5"/>
  </mergeCells>
  <pageMargins left="0.5" right="0.5" top="0.25" bottom="0.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topLeftCell="A86" workbookViewId="0">
      <selection activeCell="G91" sqref="G91"/>
    </sheetView>
  </sheetViews>
  <sheetFormatPr defaultRowHeight="15" x14ac:dyDescent="0.25"/>
  <cols>
    <col min="1" max="1" width="8.5703125" style="1" customWidth="1"/>
    <col min="2" max="2" width="19.28515625" style="1" customWidth="1"/>
    <col min="3" max="3" width="11" style="1" customWidth="1"/>
    <col min="4" max="4" width="10.28515625" style="1" customWidth="1"/>
    <col min="5" max="5" width="19.85546875" style="18" customWidth="1"/>
    <col min="6" max="6" width="22.85546875" style="5" customWidth="1"/>
    <col min="7" max="7" width="30" style="1" customWidth="1"/>
    <col min="8" max="10" width="9.140625" style="1"/>
    <col min="11" max="11" width="10" style="1" bestFit="1" customWidth="1"/>
    <col min="12" max="16384" width="9.140625" style="1"/>
  </cols>
  <sheetData>
    <row r="1" spans="1:7" ht="27" customHeight="1" x14ac:dyDescent="0.25">
      <c r="A1" s="45" t="s">
        <v>14</v>
      </c>
      <c r="B1" s="45"/>
      <c r="C1" s="45"/>
      <c r="D1" s="45"/>
    </row>
    <row r="3" spans="1:7" ht="21" customHeight="1" x14ac:dyDescent="0.25">
      <c r="A3" s="41" t="s">
        <v>11</v>
      </c>
      <c r="B3" s="41"/>
      <c r="C3" s="41"/>
      <c r="D3" s="41"/>
      <c r="E3" s="41"/>
      <c r="F3" s="41"/>
    </row>
    <row r="4" spans="1:7" ht="21" customHeight="1" x14ac:dyDescent="0.25">
      <c r="A4" s="42" t="s">
        <v>46</v>
      </c>
      <c r="B4" s="42"/>
      <c r="C4" s="42"/>
      <c r="D4" s="42"/>
      <c r="E4" s="42"/>
      <c r="F4" s="42"/>
    </row>
    <row r="5" spans="1:7" ht="21" customHeight="1" x14ac:dyDescent="0.25">
      <c r="A5" s="42" t="s">
        <v>25</v>
      </c>
      <c r="B5" s="42"/>
      <c r="C5" s="42"/>
      <c r="D5" s="42"/>
      <c r="E5" s="42"/>
      <c r="F5" s="42"/>
    </row>
    <row r="6" spans="1:7" ht="21" customHeight="1" x14ac:dyDescent="0.25">
      <c r="A6" s="43" t="s">
        <v>15</v>
      </c>
      <c r="B6" s="43"/>
      <c r="C6" s="43"/>
      <c r="D6" s="43"/>
      <c r="E6" s="43"/>
      <c r="F6" s="43"/>
    </row>
    <row r="7" spans="1:7" ht="21" customHeight="1" x14ac:dyDescent="0.25">
      <c r="A7" s="46" t="s">
        <v>16</v>
      </c>
      <c r="B7" s="46"/>
      <c r="C7" s="46"/>
      <c r="D7" s="46"/>
      <c r="E7" s="46"/>
      <c r="F7" s="46"/>
    </row>
    <row r="8" spans="1:7" ht="21" customHeight="1" x14ac:dyDescent="0.25">
      <c r="A8" s="42" t="s">
        <v>18</v>
      </c>
      <c r="B8" s="42"/>
      <c r="C8" s="42"/>
      <c r="D8" s="42"/>
      <c r="E8" s="42"/>
      <c r="F8" s="42"/>
    </row>
    <row r="9" spans="1:7" ht="21" customHeight="1" x14ac:dyDescent="0.25">
      <c r="A9" s="46" t="s">
        <v>17</v>
      </c>
      <c r="B9" s="46"/>
      <c r="C9" s="46"/>
      <c r="D9" s="46"/>
      <c r="E9" s="46"/>
      <c r="F9" s="46"/>
    </row>
    <row r="10" spans="1:7" ht="21" customHeight="1" x14ac:dyDescent="0.25">
      <c r="A10" s="42" t="s">
        <v>41</v>
      </c>
      <c r="B10" s="42"/>
      <c r="C10" s="42"/>
      <c r="D10" s="42"/>
      <c r="E10" s="42"/>
      <c r="F10" s="42"/>
    </row>
    <row r="11" spans="1:7" ht="21" customHeight="1" x14ac:dyDescent="0.25">
      <c r="A11" s="42" t="s">
        <v>34</v>
      </c>
      <c r="B11" s="42"/>
      <c r="C11" s="42"/>
      <c r="D11" s="42"/>
      <c r="E11" s="42"/>
      <c r="F11" s="42"/>
    </row>
    <row r="12" spans="1:7" ht="17.25" customHeight="1" x14ac:dyDescent="0.25">
      <c r="A12" s="48"/>
      <c r="B12" s="48"/>
      <c r="C12" s="48"/>
      <c r="D12" s="48"/>
      <c r="E12" s="48"/>
      <c r="F12" s="48"/>
    </row>
    <row r="13" spans="1:7" ht="34.5" customHeight="1" x14ac:dyDescent="0.25">
      <c r="A13" s="2" t="s">
        <v>0</v>
      </c>
      <c r="B13" s="2" t="s">
        <v>1</v>
      </c>
      <c r="C13" s="3" t="s">
        <v>6</v>
      </c>
      <c r="D13" s="2" t="s">
        <v>2</v>
      </c>
      <c r="E13" s="17" t="s">
        <v>12</v>
      </c>
      <c r="F13" s="19" t="s">
        <v>13</v>
      </c>
    </row>
    <row r="14" spans="1:7" ht="30.75" customHeight="1" x14ac:dyDescent="0.25">
      <c r="A14" s="2"/>
      <c r="B14" s="23" t="s">
        <v>36</v>
      </c>
      <c r="C14" s="50" t="s">
        <v>35</v>
      </c>
      <c r="D14" s="51"/>
      <c r="E14" s="52"/>
      <c r="F14" s="24">
        <f>35866799+109336700+44600000+1621</f>
        <v>189805120</v>
      </c>
      <c r="G14" s="1" t="s">
        <v>43</v>
      </c>
    </row>
    <row r="15" spans="1:7" ht="30.75" customHeight="1" x14ac:dyDescent="0.25">
      <c r="A15" s="26">
        <v>1</v>
      </c>
      <c r="B15" s="27" t="s">
        <v>22</v>
      </c>
      <c r="C15" s="28">
        <v>8000</v>
      </c>
      <c r="D15" s="26" t="s">
        <v>21</v>
      </c>
      <c r="E15" s="28">
        <v>1900</v>
      </c>
      <c r="F15" s="29">
        <f>C15*E15</f>
        <v>15200000</v>
      </c>
    </row>
    <row r="16" spans="1:7" ht="30.75" customHeight="1" x14ac:dyDescent="0.25">
      <c r="A16" s="26">
        <v>2</v>
      </c>
      <c r="B16" s="27" t="s">
        <v>20</v>
      </c>
      <c r="C16" s="28">
        <v>8000</v>
      </c>
      <c r="D16" s="26" t="s">
        <v>21</v>
      </c>
      <c r="E16" s="28">
        <v>1900</v>
      </c>
      <c r="F16" s="29">
        <f t="shared" ref="F16:F22" si="0">C16*E16</f>
        <v>15200000</v>
      </c>
    </row>
    <row r="17" spans="1:11" ht="30.75" customHeight="1" x14ac:dyDescent="0.25">
      <c r="A17" s="26">
        <v>3</v>
      </c>
      <c r="B17" s="30">
        <v>46330</v>
      </c>
      <c r="C17" s="28">
        <v>8000</v>
      </c>
      <c r="D17" s="26" t="s">
        <v>21</v>
      </c>
      <c r="E17" s="28">
        <v>1900</v>
      </c>
      <c r="F17" s="29">
        <f t="shared" si="0"/>
        <v>15200000</v>
      </c>
      <c r="K17" s="5"/>
    </row>
    <row r="18" spans="1:11" ht="30.75" customHeight="1" x14ac:dyDescent="0.25">
      <c r="A18" s="26">
        <v>4</v>
      </c>
      <c r="B18" s="30" t="s">
        <v>30</v>
      </c>
      <c r="C18" s="28">
        <v>8000</v>
      </c>
      <c r="D18" s="26" t="s">
        <v>21</v>
      </c>
      <c r="E18" s="28">
        <v>1900</v>
      </c>
      <c r="F18" s="29">
        <f t="shared" si="0"/>
        <v>15200000</v>
      </c>
    </row>
    <row r="19" spans="1:11" ht="30.75" customHeight="1" x14ac:dyDescent="0.25">
      <c r="A19" s="26">
        <v>5</v>
      </c>
      <c r="B19" s="30" t="s">
        <v>26</v>
      </c>
      <c r="C19" s="28">
        <v>8000</v>
      </c>
      <c r="D19" s="26" t="s">
        <v>21</v>
      </c>
      <c r="E19" s="28">
        <v>1900</v>
      </c>
      <c r="F19" s="29">
        <f t="shared" si="0"/>
        <v>15200000</v>
      </c>
    </row>
    <row r="20" spans="1:11" ht="30.75" customHeight="1" x14ac:dyDescent="0.25">
      <c r="A20" s="26">
        <v>6</v>
      </c>
      <c r="B20" s="27" t="s">
        <v>27</v>
      </c>
      <c r="C20" s="28">
        <v>8000</v>
      </c>
      <c r="D20" s="26" t="s">
        <v>21</v>
      </c>
      <c r="E20" s="28">
        <v>1900</v>
      </c>
      <c r="F20" s="29">
        <f t="shared" si="0"/>
        <v>15200000</v>
      </c>
    </row>
    <row r="21" spans="1:11" ht="30.75" customHeight="1" x14ac:dyDescent="0.25">
      <c r="A21" s="26">
        <v>7</v>
      </c>
      <c r="B21" s="27" t="s">
        <v>28</v>
      </c>
      <c r="C21" s="28">
        <v>8000</v>
      </c>
      <c r="D21" s="26" t="s">
        <v>21</v>
      </c>
      <c r="E21" s="28">
        <v>1850</v>
      </c>
      <c r="F21" s="29">
        <f t="shared" si="0"/>
        <v>14800000</v>
      </c>
    </row>
    <row r="22" spans="1:11" ht="30.75" customHeight="1" x14ac:dyDescent="0.25">
      <c r="A22" s="26">
        <v>8</v>
      </c>
      <c r="B22" s="27" t="s">
        <v>31</v>
      </c>
      <c r="C22" s="28">
        <v>8000</v>
      </c>
      <c r="D22" s="26" t="s">
        <v>21</v>
      </c>
      <c r="E22" s="28">
        <v>1850</v>
      </c>
      <c r="F22" s="29">
        <f t="shared" si="0"/>
        <v>14800000</v>
      </c>
    </row>
    <row r="23" spans="1:11" ht="30.75" customHeight="1" x14ac:dyDescent="0.25">
      <c r="A23" s="8"/>
      <c r="B23" s="21" t="s">
        <v>38</v>
      </c>
      <c r="C23" s="22"/>
      <c r="D23" s="53" t="s">
        <v>37</v>
      </c>
      <c r="E23" s="53"/>
      <c r="F23" s="22">
        <f>SUM(F15:F22)</f>
        <v>120800000</v>
      </c>
    </row>
    <row r="24" spans="1:11" ht="30.75" customHeight="1" x14ac:dyDescent="0.25">
      <c r="A24" s="31"/>
      <c r="B24" s="8" t="s">
        <v>40</v>
      </c>
      <c r="C24" s="25">
        <f>SUM(C15:C22)</f>
        <v>64000</v>
      </c>
      <c r="D24" s="53" t="s">
        <v>39</v>
      </c>
      <c r="E24" s="53"/>
      <c r="F24" s="22">
        <f>F14+F23</f>
        <v>310605120</v>
      </c>
    </row>
    <row r="25" spans="1:11" ht="15" customHeight="1" x14ac:dyDescent="0.25"/>
    <row r="26" spans="1:11" x14ac:dyDescent="0.25">
      <c r="A26" s="49" t="s">
        <v>33</v>
      </c>
      <c r="B26" s="49"/>
      <c r="C26" s="49"/>
      <c r="D26" s="49"/>
      <c r="E26" s="49"/>
      <c r="F26" s="49"/>
    </row>
    <row r="27" spans="1:11" ht="36" customHeight="1" x14ac:dyDescent="0.25">
      <c r="A27" s="49"/>
      <c r="B27" s="49"/>
      <c r="C27" s="49"/>
      <c r="D27" s="49"/>
      <c r="E27" s="49"/>
      <c r="F27" s="49"/>
    </row>
    <row r="29" spans="1:11" ht="24.75" customHeight="1" x14ac:dyDescent="0.25">
      <c r="E29" s="47" t="s">
        <v>42</v>
      </c>
      <c r="F29" s="47"/>
    </row>
    <row r="31" spans="1:11" ht="16.5" x14ac:dyDescent="0.25">
      <c r="A31" s="46" t="s">
        <v>23</v>
      </c>
      <c r="B31" s="46"/>
      <c r="C31" s="46"/>
      <c r="D31" s="46"/>
      <c r="E31" s="46"/>
      <c r="F31" s="46"/>
    </row>
    <row r="36" spans="1:6" ht="27" customHeight="1" x14ac:dyDescent="0.25">
      <c r="A36" s="45" t="s">
        <v>14</v>
      </c>
      <c r="B36" s="45"/>
      <c r="C36" s="45"/>
      <c r="D36" s="45"/>
    </row>
    <row r="38" spans="1:6" ht="21" customHeight="1" x14ac:dyDescent="0.25">
      <c r="A38" s="41" t="s">
        <v>11</v>
      </c>
      <c r="B38" s="41"/>
      <c r="C38" s="41"/>
      <c r="D38" s="41"/>
      <c r="E38" s="41"/>
      <c r="F38" s="41"/>
    </row>
    <row r="39" spans="1:6" ht="21" customHeight="1" x14ac:dyDescent="0.25">
      <c r="A39" s="42" t="s">
        <v>46</v>
      </c>
      <c r="B39" s="42"/>
      <c r="C39" s="42"/>
      <c r="D39" s="42"/>
      <c r="E39" s="42"/>
      <c r="F39" s="42"/>
    </row>
    <row r="40" spans="1:6" ht="21" customHeight="1" x14ac:dyDescent="0.25">
      <c r="A40" s="42" t="s">
        <v>25</v>
      </c>
      <c r="B40" s="42"/>
      <c r="C40" s="42"/>
      <c r="D40" s="42"/>
      <c r="E40" s="42"/>
      <c r="F40" s="42"/>
    </row>
    <row r="41" spans="1:6" ht="21" customHeight="1" x14ac:dyDescent="0.25">
      <c r="A41" s="43" t="s">
        <v>15</v>
      </c>
      <c r="B41" s="43"/>
      <c r="C41" s="43"/>
      <c r="D41" s="43"/>
      <c r="E41" s="43"/>
      <c r="F41" s="43"/>
    </row>
    <row r="42" spans="1:6" ht="21" customHeight="1" x14ac:dyDescent="0.25">
      <c r="A42" s="46" t="s">
        <v>16</v>
      </c>
      <c r="B42" s="46"/>
      <c r="C42" s="46"/>
      <c r="D42" s="46"/>
      <c r="E42" s="46"/>
      <c r="F42" s="46"/>
    </row>
    <row r="43" spans="1:6" ht="21" customHeight="1" x14ac:dyDescent="0.25">
      <c r="A43" s="42" t="s">
        <v>18</v>
      </c>
      <c r="B43" s="42"/>
      <c r="C43" s="42"/>
      <c r="D43" s="42"/>
      <c r="E43" s="42"/>
      <c r="F43" s="42"/>
    </row>
    <row r="44" spans="1:6" ht="21" customHeight="1" x14ac:dyDescent="0.25">
      <c r="A44" s="46" t="s">
        <v>17</v>
      </c>
      <c r="B44" s="46"/>
      <c r="C44" s="46"/>
      <c r="D44" s="46"/>
      <c r="E44" s="46"/>
      <c r="F44" s="46"/>
    </row>
    <row r="45" spans="1:6" ht="21" customHeight="1" x14ac:dyDescent="0.25">
      <c r="A45" s="42" t="s">
        <v>41</v>
      </c>
      <c r="B45" s="42"/>
      <c r="C45" s="42"/>
      <c r="D45" s="42"/>
      <c r="E45" s="42"/>
      <c r="F45" s="42"/>
    </row>
    <row r="46" spans="1:6" ht="21" customHeight="1" x14ac:dyDescent="0.25">
      <c r="A46" s="42" t="s">
        <v>48</v>
      </c>
      <c r="B46" s="42"/>
      <c r="C46" s="42"/>
      <c r="D46" s="42"/>
      <c r="E46" s="42"/>
      <c r="F46" s="42"/>
    </row>
    <row r="47" spans="1:6" ht="17.25" customHeight="1" x14ac:dyDescent="0.25">
      <c r="A47" s="48"/>
      <c r="B47" s="48"/>
      <c r="C47" s="48"/>
      <c r="D47" s="48"/>
      <c r="E47" s="48"/>
      <c r="F47" s="48"/>
    </row>
    <row r="48" spans="1:6" ht="34.5" customHeight="1" x14ac:dyDescent="0.25">
      <c r="A48" s="2" t="s">
        <v>0</v>
      </c>
      <c r="B48" s="2" t="s">
        <v>1</v>
      </c>
      <c r="C48" s="3" t="s">
        <v>6</v>
      </c>
      <c r="D48" s="2" t="s">
        <v>2</v>
      </c>
      <c r="E48" s="17" t="s">
        <v>12</v>
      </c>
      <c r="F48" s="19" t="s">
        <v>13</v>
      </c>
    </row>
    <row r="49" spans="1:11" ht="30.75" customHeight="1" x14ac:dyDescent="0.25">
      <c r="A49" s="23" t="s">
        <v>36</v>
      </c>
      <c r="B49" s="23"/>
      <c r="C49" s="50" t="s">
        <v>45</v>
      </c>
      <c r="D49" s="51"/>
      <c r="E49" s="52"/>
      <c r="F49" s="24">
        <f>310605120</f>
        <v>310605120</v>
      </c>
      <c r="G49" s="1" t="s">
        <v>43</v>
      </c>
    </row>
    <row r="50" spans="1:11" ht="30.75" customHeight="1" x14ac:dyDescent="0.25">
      <c r="A50" s="26">
        <v>1</v>
      </c>
      <c r="B50" s="30">
        <v>46117</v>
      </c>
      <c r="C50" s="28">
        <v>8000</v>
      </c>
      <c r="D50" s="26" t="s">
        <v>21</v>
      </c>
      <c r="E50" s="28">
        <v>1850</v>
      </c>
      <c r="F50" s="29">
        <f>C50*E50</f>
        <v>14800000</v>
      </c>
    </row>
    <row r="51" spans="1:11" ht="30.75" customHeight="1" x14ac:dyDescent="0.25">
      <c r="A51" s="26">
        <v>2</v>
      </c>
      <c r="B51" s="30">
        <v>46270</v>
      </c>
      <c r="C51" s="28">
        <v>8000</v>
      </c>
      <c r="D51" s="26" t="s">
        <v>21</v>
      </c>
      <c r="E51" s="28">
        <v>1850</v>
      </c>
      <c r="F51" s="29">
        <f t="shared" ref="F51:F52" si="1">C51*E51</f>
        <v>14800000</v>
      </c>
    </row>
    <row r="52" spans="1:11" ht="30.75" customHeight="1" x14ac:dyDescent="0.25">
      <c r="A52" s="26">
        <v>3</v>
      </c>
      <c r="B52" s="30" t="s">
        <v>49</v>
      </c>
      <c r="C52" s="28">
        <v>8000</v>
      </c>
      <c r="D52" s="26" t="s">
        <v>21</v>
      </c>
      <c r="E52" s="28">
        <v>1850</v>
      </c>
      <c r="F52" s="29">
        <f t="shared" si="1"/>
        <v>14800000</v>
      </c>
      <c r="K52" s="5"/>
    </row>
    <row r="53" spans="1:11" ht="30.75" customHeight="1" x14ac:dyDescent="0.25">
      <c r="A53" s="26"/>
      <c r="B53" s="30"/>
      <c r="C53" s="28"/>
      <c r="D53" s="26"/>
      <c r="E53" s="28"/>
      <c r="F53" s="29"/>
    </row>
    <row r="54" spans="1:11" ht="30.75" customHeight="1" x14ac:dyDescent="0.25">
      <c r="A54" s="26"/>
      <c r="B54" s="30"/>
      <c r="C54" s="28"/>
      <c r="D54" s="26"/>
      <c r="E54" s="28"/>
      <c r="F54" s="29"/>
    </row>
    <row r="55" spans="1:11" ht="30.75" customHeight="1" x14ac:dyDescent="0.25">
      <c r="A55" s="26"/>
      <c r="B55" s="27"/>
      <c r="C55" s="28"/>
      <c r="D55" s="26"/>
      <c r="E55" s="28"/>
      <c r="F55" s="29"/>
    </row>
    <row r="56" spans="1:11" ht="30.75" customHeight="1" x14ac:dyDescent="0.25">
      <c r="A56" s="26"/>
      <c r="B56" s="27"/>
      <c r="C56" s="28"/>
      <c r="D56" s="26"/>
      <c r="E56" s="28"/>
      <c r="F56" s="29"/>
    </row>
    <row r="57" spans="1:11" ht="30.75" customHeight="1" x14ac:dyDescent="0.25">
      <c r="A57" s="26"/>
      <c r="B57" s="27"/>
      <c r="C57" s="28"/>
      <c r="D57" s="26"/>
      <c r="E57" s="28"/>
      <c r="F57" s="29"/>
    </row>
    <row r="58" spans="1:11" ht="30.75" customHeight="1" x14ac:dyDescent="0.25">
      <c r="A58" s="21" t="s">
        <v>38</v>
      </c>
      <c r="B58" s="34" t="s">
        <v>37</v>
      </c>
      <c r="C58" s="34">
        <f>SUM(C50:C57)</f>
        <v>24000</v>
      </c>
      <c r="D58" s="22"/>
      <c r="E58" s="34"/>
      <c r="F58" s="22">
        <f>SUM(F50:F57)</f>
        <v>44400000</v>
      </c>
    </row>
    <row r="59" spans="1:11" ht="30.75" customHeight="1" x14ac:dyDescent="0.25">
      <c r="A59" s="38" t="s">
        <v>50</v>
      </c>
      <c r="B59" s="38" t="s">
        <v>51</v>
      </c>
      <c r="C59" s="39"/>
      <c r="D59" s="40"/>
      <c r="E59" s="40"/>
      <c r="F59" s="39">
        <v>100000000</v>
      </c>
    </row>
    <row r="60" spans="1:11" ht="30.75" customHeight="1" x14ac:dyDescent="0.25">
      <c r="A60" s="8" t="s">
        <v>52</v>
      </c>
      <c r="B60" s="33" t="s">
        <v>39</v>
      </c>
      <c r="C60" s="22"/>
      <c r="D60" s="35"/>
      <c r="E60" s="35"/>
      <c r="F60" s="22">
        <f>F49+F58-F59</f>
        <v>255005120</v>
      </c>
    </row>
    <row r="61" spans="1:11" ht="15" customHeight="1" x14ac:dyDescent="0.25"/>
    <row r="62" spans="1:11" x14ac:dyDescent="0.25">
      <c r="A62" s="49" t="s">
        <v>33</v>
      </c>
      <c r="B62" s="49"/>
      <c r="C62" s="49"/>
      <c r="D62" s="49"/>
      <c r="E62" s="49"/>
      <c r="F62" s="49"/>
    </row>
    <row r="63" spans="1:11" ht="36" customHeight="1" x14ac:dyDescent="0.25">
      <c r="A63" s="49"/>
      <c r="B63" s="49"/>
      <c r="C63" s="49"/>
      <c r="D63" s="49"/>
      <c r="E63" s="49"/>
      <c r="F63" s="49"/>
    </row>
    <row r="65" spans="1:6" ht="24.75" customHeight="1" x14ac:dyDescent="0.25">
      <c r="E65" s="47" t="s">
        <v>42</v>
      </c>
      <c r="F65" s="47"/>
    </row>
    <row r="67" spans="1:6" ht="16.5" x14ac:dyDescent="0.25">
      <c r="A67" s="46" t="s">
        <v>53</v>
      </c>
      <c r="B67" s="46"/>
      <c r="C67" s="46"/>
      <c r="D67" s="46"/>
      <c r="E67" s="46"/>
      <c r="F67" s="46"/>
    </row>
    <row r="75" spans="1:6" ht="27" customHeight="1" x14ac:dyDescent="0.25">
      <c r="A75" s="45" t="s">
        <v>14</v>
      </c>
      <c r="B75" s="45"/>
      <c r="C75" s="45"/>
      <c r="D75" s="45"/>
    </row>
    <row r="77" spans="1:6" ht="21" customHeight="1" x14ac:dyDescent="0.25">
      <c r="A77" s="41" t="s">
        <v>11</v>
      </c>
      <c r="B77" s="41"/>
      <c r="C77" s="41"/>
      <c r="D77" s="41"/>
      <c r="E77" s="41"/>
      <c r="F77" s="41"/>
    </row>
    <row r="78" spans="1:6" ht="21" customHeight="1" x14ac:dyDescent="0.25">
      <c r="A78" s="42" t="s">
        <v>46</v>
      </c>
      <c r="B78" s="42"/>
      <c r="C78" s="42"/>
      <c r="D78" s="42"/>
      <c r="E78" s="42"/>
      <c r="F78" s="42"/>
    </row>
    <row r="79" spans="1:6" ht="21" customHeight="1" x14ac:dyDescent="0.25">
      <c r="A79" s="42" t="s">
        <v>25</v>
      </c>
      <c r="B79" s="42"/>
      <c r="C79" s="42"/>
      <c r="D79" s="42"/>
      <c r="E79" s="42"/>
      <c r="F79" s="42"/>
    </row>
    <row r="80" spans="1:6" ht="21" customHeight="1" x14ac:dyDescent="0.25">
      <c r="A80" s="43" t="s">
        <v>15</v>
      </c>
      <c r="B80" s="43"/>
      <c r="C80" s="43"/>
      <c r="D80" s="43"/>
      <c r="E80" s="43"/>
      <c r="F80" s="43"/>
    </row>
    <row r="81" spans="1:11" ht="21" customHeight="1" x14ac:dyDescent="0.25">
      <c r="A81" s="46" t="s">
        <v>16</v>
      </c>
      <c r="B81" s="46"/>
      <c r="C81" s="46"/>
      <c r="D81" s="46"/>
      <c r="E81" s="46"/>
      <c r="F81" s="46"/>
    </row>
    <row r="82" spans="1:11" ht="21" customHeight="1" x14ac:dyDescent="0.25">
      <c r="A82" s="42" t="s">
        <v>18</v>
      </c>
      <c r="B82" s="42"/>
      <c r="C82" s="42"/>
      <c r="D82" s="42"/>
      <c r="E82" s="42"/>
      <c r="F82" s="42"/>
    </row>
    <row r="83" spans="1:11" ht="21" customHeight="1" x14ac:dyDescent="0.25">
      <c r="A83" s="46" t="s">
        <v>17</v>
      </c>
      <c r="B83" s="46"/>
      <c r="C83" s="46"/>
      <c r="D83" s="46"/>
      <c r="E83" s="46"/>
      <c r="F83" s="46"/>
    </row>
    <row r="84" spans="1:11" ht="21" customHeight="1" x14ac:dyDescent="0.25">
      <c r="A84" s="42" t="s">
        <v>41</v>
      </c>
      <c r="B84" s="42"/>
      <c r="C84" s="42"/>
      <c r="D84" s="42"/>
      <c r="E84" s="42"/>
      <c r="F84" s="42"/>
    </row>
    <row r="85" spans="1:11" ht="21" customHeight="1" x14ac:dyDescent="0.25">
      <c r="A85" s="42" t="s">
        <v>65</v>
      </c>
      <c r="B85" s="42"/>
      <c r="C85" s="42"/>
      <c r="D85" s="42"/>
      <c r="E85" s="42"/>
      <c r="F85" s="42"/>
    </row>
    <row r="86" spans="1:11" ht="17.25" customHeight="1" x14ac:dyDescent="0.25">
      <c r="A86" s="48"/>
      <c r="B86" s="48"/>
      <c r="C86" s="48"/>
      <c r="D86" s="48"/>
      <c r="E86" s="48"/>
      <c r="F86" s="48"/>
    </row>
    <row r="87" spans="1:11" ht="34.5" customHeight="1" x14ac:dyDescent="0.25">
      <c r="A87" s="2" t="s">
        <v>0</v>
      </c>
      <c r="B87" s="2" t="s">
        <v>1</v>
      </c>
      <c r="C87" s="3" t="s">
        <v>6</v>
      </c>
      <c r="D87" s="2" t="s">
        <v>2</v>
      </c>
      <c r="E87" s="17" t="s">
        <v>12</v>
      </c>
      <c r="F87" s="19" t="s">
        <v>13</v>
      </c>
    </row>
    <row r="88" spans="1:11" ht="30.75" customHeight="1" x14ac:dyDescent="0.25">
      <c r="A88" s="23" t="s">
        <v>36</v>
      </c>
      <c r="B88" s="23"/>
      <c r="C88" s="50" t="s">
        <v>59</v>
      </c>
      <c r="D88" s="51"/>
      <c r="E88" s="52"/>
      <c r="F88" s="24">
        <v>255005120</v>
      </c>
      <c r="G88" s="1" t="s">
        <v>43</v>
      </c>
    </row>
    <row r="89" spans="1:11" ht="30.75" customHeight="1" x14ac:dyDescent="0.25">
      <c r="A89" s="26">
        <v>1</v>
      </c>
      <c r="B89" s="30" t="s">
        <v>57</v>
      </c>
      <c r="C89" s="28">
        <v>8000</v>
      </c>
      <c r="D89" s="26" t="s">
        <v>21</v>
      </c>
      <c r="E89" s="28">
        <v>1850</v>
      </c>
      <c r="F89" s="29">
        <f>C89*E89</f>
        <v>14800000</v>
      </c>
    </row>
    <row r="90" spans="1:11" ht="30.75" customHeight="1" x14ac:dyDescent="0.25">
      <c r="A90" s="26">
        <v>2</v>
      </c>
      <c r="B90" s="30" t="s">
        <v>60</v>
      </c>
      <c r="C90" s="28">
        <v>5400</v>
      </c>
      <c r="D90" s="26" t="s">
        <v>21</v>
      </c>
      <c r="E90" s="28">
        <v>1450</v>
      </c>
      <c r="F90" s="29">
        <f t="shared" ref="F90:F91" si="2">C90*E90</f>
        <v>7830000</v>
      </c>
    </row>
    <row r="91" spans="1:11" ht="30.75" customHeight="1" x14ac:dyDescent="0.25">
      <c r="A91" s="26">
        <v>3</v>
      </c>
      <c r="B91" s="30" t="s">
        <v>60</v>
      </c>
      <c r="C91" s="28">
        <v>5400</v>
      </c>
      <c r="D91" s="26" t="s">
        <v>21</v>
      </c>
      <c r="E91" s="28">
        <v>1450</v>
      </c>
      <c r="F91" s="29">
        <f t="shared" si="2"/>
        <v>7830000</v>
      </c>
      <c r="K91" s="5"/>
    </row>
    <row r="92" spans="1:11" ht="30.75" customHeight="1" x14ac:dyDescent="0.25">
      <c r="A92" s="26"/>
      <c r="B92" s="30"/>
      <c r="C92" s="28"/>
      <c r="D92" s="26"/>
      <c r="E92" s="28"/>
      <c r="F92" s="29"/>
    </row>
    <row r="93" spans="1:11" ht="30.75" customHeight="1" x14ac:dyDescent="0.25">
      <c r="A93" s="26"/>
      <c r="B93" s="30"/>
      <c r="C93" s="28"/>
      <c r="D93" s="26"/>
      <c r="E93" s="28"/>
      <c r="F93" s="29"/>
    </row>
    <row r="94" spans="1:11" ht="30.75" customHeight="1" x14ac:dyDescent="0.25">
      <c r="A94" s="26"/>
      <c r="B94" s="27"/>
      <c r="C94" s="28"/>
      <c r="D94" s="26"/>
      <c r="E94" s="28"/>
      <c r="F94" s="29"/>
    </row>
    <row r="95" spans="1:11" ht="30.75" customHeight="1" x14ac:dyDescent="0.25">
      <c r="A95" s="26"/>
      <c r="B95" s="27"/>
      <c r="C95" s="28"/>
      <c r="D95" s="26"/>
      <c r="E95" s="28"/>
      <c r="F95" s="29"/>
    </row>
    <row r="96" spans="1:11" ht="30.75" customHeight="1" x14ac:dyDescent="0.25">
      <c r="A96" s="26"/>
      <c r="B96" s="27"/>
      <c r="C96" s="28"/>
      <c r="D96" s="26"/>
      <c r="E96" s="28"/>
      <c r="F96" s="29"/>
    </row>
    <row r="97" spans="1:6" ht="30.75" customHeight="1" x14ac:dyDescent="0.25">
      <c r="A97" s="21" t="s">
        <v>38</v>
      </c>
      <c r="B97" s="34" t="s">
        <v>37</v>
      </c>
      <c r="C97" s="34">
        <f>SUM(C89:C96)</f>
        <v>18800</v>
      </c>
      <c r="D97" s="22"/>
      <c r="E97" s="34"/>
      <c r="F97" s="22">
        <f>SUM(F89:F96)</f>
        <v>30460000</v>
      </c>
    </row>
    <row r="98" spans="1:6" ht="30.75" customHeight="1" x14ac:dyDescent="0.25">
      <c r="A98" s="38" t="s">
        <v>50</v>
      </c>
      <c r="B98" s="38" t="s">
        <v>51</v>
      </c>
      <c r="C98" s="39"/>
      <c r="D98" s="40"/>
      <c r="E98" s="40"/>
      <c r="F98" s="39"/>
    </row>
    <row r="99" spans="1:6" ht="30.75" customHeight="1" x14ac:dyDescent="0.25">
      <c r="A99" s="8" t="s">
        <v>52</v>
      </c>
      <c r="B99" s="37" t="s">
        <v>39</v>
      </c>
      <c r="C99" s="22"/>
      <c r="D99" s="35"/>
      <c r="E99" s="35"/>
      <c r="F99" s="22">
        <f>F88+F97-F98</f>
        <v>285465120</v>
      </c>
    </row>
    <row r="100" spans="1:6" ht="15" customHeight="1" x14ac:dyDescent="0.25"/>
    <row r="101" spans="1:6" x14ac:dyDescent="0.25">
      <c r="A101" s="49" t="s">
        <v>33</v>
      </c>
      <c r="B101" s="49"/>
      <c r="C101" s="49"/>
      <c r="D101" s="49"/>
      <c r="E101" s="49"/>
      <c r="F101" s="49"/>
    </row>
    <row r="102" spans="1:6" ht="36" customHeight="1" x14ac:dyDescent="0.25">
      <c r="A102" s="49"/>
      <c r="B102" s="49"/>
      <c r="C102" s="49"/>
      <c r="D102" s="49"/>
      <c r="E102" s="49"/>
      <c r="F102" s="49"/>
    </row>
    <row r="104" spans="1:6" ht="24.75" customHeight="1" x14ac:dyDescent="0.25">
      <c r="E104" s="47" t="s">
        <v>42</v>
      </c>
      <c r="F104" s="47"/>
    </row>
    <row r="106" spans="1:6" ht="16.5" x14ac:dyDescent="0.25">
      <c r="A106" s="46" t="s">
        <v>53</v>
      </c>
      <c r="B106" s="46"/>
      <c r="C106" s="46"/>
      <c r="D106" s="46"/>
      <c r="E106" s="46"/>
      <c r="F106" s="46"/>
    </row>
  </sheetData>
  <mergeCells count="47">
    <mergeCell ref="A86:F86"/>
    <mergeCell ref="C88:E88"/>
    <mergeCell ref="A101:F102"/>
    <mergeCell ref="E104:F104"/>
    <mergeCell ref="A106:F106"/>
    <mergeCell ref="A81:F81"/>
    <mergeCell ref="A82:F82"/>
    <mergeCell ref="A83:F83"/>
    <mergeCell ref="A84:F84"/>
    <mergeCell ref="A85:F85"/>
    <mergeCell ref="A75:D75"/>
    <mergeCell ref="A77:F77"/>
    <mergeCell ref="A78:F78"/>
    <mergeCell ref="A79:F79"/>
    <mergeCell ref="A80:F80"/>
    <mergeCell ref="E65:F65"/>
    <mergeCell ref="A67:F67"/>
    <mergeCell ref="A47:F47"/>
    <mergeCell ref="C49:E49"/>
    <mergeCell ref="A62:F63"/>
    <mergeCell ref="A42:F42"/>
    <mergeCell ref="A43:F43"/>
    <mergeCell ref="A44:F44"/>
    <mergeCell ref="A45:F45"/>
    <mergeCell ref="A46:F46"/>
    <mergeCell ref="A36:D36"/>
    <mergeCell ref="A38:F38"/>
    <mergeCell ref="A39:F39"/>
    <mergeCell ref="A40:F40"/>
    <mergeCell ref="A41:F41"/>
    <mergeCell ref="E29:F29"/>
    <mergeCell ref="A11:F11"/>
    <mergeCell ref="A12:F12"/>
    <mergeCell ref="A31:F31"/>
    <mergeCell ref="A9:F9"/>
    <mergeCell ref="A10:F10"/>
    <mergeCell ref="A26:F27"/>
    <mergeCell ref="C14:E14"/>
    <mergeCell ref="D24:E24"/>
    <mergeCell ref="D23:E23"/>
    <mergeCell ref="A1:D1"/>
    <mergeCell ref="A6:F6"/>
    <mergeCell ref="A7:F7"/>
    <mergeCell ref="A8:F8"/>
    <mergeCell ref="A3:F3"/>
    <mergeCell ref="A4:F4"/>
    <mergeCell ref="A5:F5"/>
  </mergeCells>
  <pageMargins left="0.5" right="0.5" top="0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Vật tư ngày</vt:lpstr>
      <vt:lpstr>Vật tư tháng</vt:lpstr>
      <vt:lpstr>Đối chiếu công nợ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2026-07-09T02:57:03Z</dcterms:modified>
</cp:coreProperties>
</file>